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admin_ak\Documents\"/>
    </mc:Choice>
  </mc:AlternateContent>
  <xr:revisionPtr revIDLastSave="27" documentId="8_{59A209D0-8917-4EE6-823D-E765BC811882}" xr6:coauthVersionLast="47" xr6:coauthVersionMax="47" xr10:uidLastSave="{7F606836-9EC9-42EF-8391-5FC085AA2D92}"/>
  <bookViews>
    <workbookView xWindow="-108" yWindow="-108" windowWidth="23256" windowHeight="13896" firstSheet="2" xr2:uid="{00000000-000D-0000-FFFF-FFFF00000000}"/>
  </bookViews>
  <sheets>
    <sheet name="OPS - Services" sheetId="1" r:id="rId1"/>
    <sheet name="Nomentclature" sheetId="4" r:id="rId2"/>
    <sheet name="K8S - Nodes &amp; Services" sheetId="7" r:id="rId3"/>
  </sheets>
  <definedNames>
    <definedName name="_xlnm._FilterDatabase" localSheetId="1" hidden="1">Nomentclature!$A$1:$B$40</definedName>
    <definedName name="_xlnm._FilterDatabase" localSheetId="0" hidden="1">'OPS - Services'!$A$1:$E$31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7" l="1"/>
  <c r="G16" i="7"/>
  <c r="F17" i="7"/>
  <c r="G17" i="7"/>
  <c r="F18" i="7"/>
  <c r="G18" i="7"/>
  <c r="C32" i="4"/>
  <c r="D32" i="4"/>
</calcChain>
</file>

<file path=xl/sharedStrings.xml><?xml version="1.0" encoding="utf-8"?>
<sst xmlns="http://schemas.openxmlformats.org/spreadsheetml/2006/main" count="281" uniqueCount="201">
  <si>
    <t>Category</t>
  </si>
  <si>
    <t>Features</t>
  </si>
  <si>
    <t>Selection</t>
  </si>
  <si>
    <t>Status</t>
  </si>
  <si>
    <t>Other</t>
  </si>
  <si>
    <t>Hypervisor</t>
  </si>
  <si>
    <t>Virtualization</t>
  </si>
  <si>
    <t xml:space="preserve">Enable the virtualisation of the VMs and  </t>
  </si>
  <si>
    <t xml:space="preserve">2 - 3 Proxmox </t>
  </si>
  <si>
    <t xml:space="preserve">DEFINED </t>
  </si>
  <si>
    <t>2 sites différents sites and 1 for the PBS</t>
  </si>
  <si>
    <t>Network filtering</t>
  </si>
  <si>
    <t>Network split</t>
  </si>
  <si>
    <t>Define rules to ensure that only trusted and allowed data are exchanged</t>
  </si>
  <si>
    <t>Pfsense</t>
  </si>
  <si>
    <t>Haproxy est un module pfsense et s'intègre facilement</t>
  </si>
  <si>
    <t xml:space="preserve">Rules Access </t>
  </si>
  <si>
    <t>Edit Rule beetween networks.</t>
  </si>
  <si>
    <r>
      <rPr>
        <b/>
        <sz val="16"/>
        <color theme="9"/>
        <rFont val="Arial"/>
        <family val="2"/>
      </rPr>
      <t>Undefined</t>
    </r>
    <r>
      <rPr>
        <b/>
        <sz val="16"/>
        <color rgb="FF00B050"/>
        <rFont val="Arial"/>
        <family val="2"/>
      </rPr>
      <t xml:space="preserve"> </t>
    </r>
  </si>
  <si>
    <t>-</t>
  </si>
  <si>
    <t xml:space="preserve">CODE versionning </t>
  </si>
  <si>
    <t xml:space="preserve">Code versionning </t>
  </si>
  <si>
    <t xml:space="preserve">Repository and code versionning </t>
  </si>
  <si>
    <t xml:space="preserve">Github </t>
  </si>
  <si>
    <t>DEFINED</t>
  </si>
  <si>
    <t>Need to be choose between Github and Gitea with all the teams</t>
  </si>
  <si>
    <t xml:space="preserve">CI / CD </t>
  </si>
  <si>
    <t>Git Hub action runner | Gitea Action</t>
  </si>
  <si>
    <t>Same</t>
  </si>
  <si>
    <t>Project Managment</t>
  </si>
  <si>
    <t>Define sprint, User story, features, tasks</t>
  </si>
  <si>
    <t>Azure Devops Team</t>
  </si>
  <si>
    <t>Plan how the project will be schedule and organized</t>
  </si>
  <si>
    <t>Documentation</t>
  </si>
  <si>
    <t>Container Management (GUI)</t>
  </si>
  <si>
    <t>Portainer</t>
  </si>
  <si>
    <t>Web administration interface</t>
  </si>
  <si>
    <t>Sécurity &amp; Acces</t>
  </si>
  <si>
    <t>Security &amp; acces</t>
  </si>
  <si>
    <t>Remote Server Access</t>
  </si>
  <si>
    <t>Guacamole</t>
  </si>
  <si>
    <t>Alternatives : Guacamole, serveur de rebond</t>
  </si>
  <si>
    <t xml:space="preserve">Single Sigh ON - Unified </t>
  </si>
  <si>
    <t>Keycloak</t>
  </si>
  <si>
    <t>Unified and gather authentification on one service</t>
  </si>
  <si>
    <t>Protection against brute force attack</t>
  </si>
  <si>
    <t>Fail2Ban</t>
  </si>
  <si>
    <t>Protect our system against undesired connection attempt.</t>
  </si>
  <si>
    <t>Orchestration &amp; K8S</t>
  </si>
  <si>
    <t>Control-plane</t>
  </si>
  <si>
    <t>High-availability control-plane, 1 node per site</t>
  </si>
  <si>
    <t xml:space="preserve"> 3 K8s master node</t>
  </si>
  <si>
    <r>
      <rPr>
        <b/>
        <sz val="16"/>
        <color theme="9"/>
        <rFont val="Calibri"/>
        <family val="2"/>
        <scheme val="minor"/>
      </rPr>
      <t>Undefined</t>
    </r>
    <r>
      <rPr>
        <b/>
        <sz val="16"/>
        <color theme="1"/>
        <rFont val="Calibri"/>
        <family val="2"/>
        <scheme val="minor"/>
      </rPr>
      <t xml:space="preserve"> </t>
    </r>
  </si>
  <si>
    <t>1 on Proxmox A, 1 on Proxmox B, 1 on witness site</t>
  </si>
  <si>
    <t>Worker nodes</t>
  </si>
  <si>
    <t>Run application workloads (pods)</t>
  </si>
  <si>
    <t>4 workers (k8s-worker-01 to 04)</t>
  </si>
  <si>
    <t xml:space="preserve">      SIZE Undifined </t>
  </si>
  <si>
    <t>2 per Proxmox (A/B); scheduler decides pod placement</t>
  </si>
  <si>
    <t>Cluster GUI/CLI</t>
  </si>
  <si>
    <t>Kubernetes administration</t>
  </si>
  <si>
    <t>Friendly GUI for Container managment-</t>
  </si>
  <si>
    <t>Ingress</t>
  </si>
  <si>
    <t>Reverse proxy / ingress controller for the cluster</t>
  </si>
  <si>
    <t>Traefik</t>
  </si>
  <si>
    <t xml:space="preserve">Routing HTTP flux cross the services </t>
  </si>
  <si>
    <t>Scalability and resilience</t>
  </si>
  <si>
    <t xml:space="preserve">Ensure the resiliance of critical services </t>
  </si>
  <si>
    <t>Kubernetes</t>
  </si>
  <si>
    <t>Differents Kubernetes nodes will be provided</t>
  </si>
  <si>
    <t xml:space="preserve">Security (IAC &amp; Images) </t>
  </si>
  <si>
    <t>Image scanning</t>
  </si>
  <si>
    <t>Detect CVEs and vunerabilites  in container images</t>
  </si>
  <si>
    <t>Trivy (CI/CD)</t>
  </si>
  <si>
    <t>Runs before pushing images to the registry</t>
  </si>
  <si>
    <t>IaC scanning</t>
  </si>
  <si>
    <t>Detect misconfigurations in K8s manifests</t>
  </si>
  <si>
    <t>Trivy</t>
  </si>
  <si>
    <t>Shift-left security, runs in CI/CD</t>
  </si>
  <si>
    <t xml:space="preserve">SOC / Monitoring </t>
  </si>
  <si>
    <t>SOC / Supervision</t>
  </si>
  <si>
    <t>Log centralization</t>
  </si>
  <si>
    <t>LOKI</t>
  </si>
  <si>
    <t>Visualisation / Métrologie</t>
  </si>
  <si>
    <t>GRAFANA</t>
  </si>
  <si>
    <t>Supervision serveurs / réseau</t>
  </si>
  <si>
    <t>ZABBIX</t>
  </si>
  <si>
    <t xml:space="preserve">Health monitoring of the servers </t>
  </si>
  <si>
    <t>BACKUP</t>
  </si>
  <si>
    <t>Backup of Proxmox VMs/infrastructure</t>
  </si>
  <si>
    <t>PBS (Proxmox Backup Serveur)</t>
  </si>
  <si>
    <t xml:space="preserve">Save the entire vms </t>
  </si>
  <si>
    <t xml:space="preserve">Data backup </t>
  </si>
  <si>
    <t>Backup of application data</t>
  </si>
  <si>
    <t>Azure Cloud VMS</t>
  </si>
  <si>
    <t xml:space="preserve">Deported Save of databases data </t>
  </si>
  <si>
    <t xml:space="preserve">Reverse Proxy (frontal) </t>
  </si>
  <si>
    <t>Frontal reverse proxy for external-facing traffic</t>
  </si>
  <si>
    <t>Caddy</t>
  </si>
  <si>
    <t>Distinct from Traefik (internal K8s ingress)</t>
  </si>
  <si>
    <t xml:space="preserve">  DEFINED</t>
  </si>
  <si>
    <t xml:space="preserve">Rôle </t>
  </si>
  <si>
    <t>Service</t>
  </si>
  <si>
    <t>vCPU</t>
  </si>
  <si>
    <t>Ram (Go)</t>
  </si>
  <si>
    <t xml:space="preserve"> RESEAU INFRA </t>
  </si>
  <si>
    <t>Pare feux 1 (MASTER)</t>
  </si>
  <si>
    <t xml:space="preserve">PFSENSE </t>
  </si>
  <si>
    <t>Pare feux 2 (SLAVE)</t>
  </si>
  <si>
    <t xml:space="preserve">Hyperviseur </t>
  </si>
  <si>
    <t>2 x PROXMOX</t>
  </si>
  <si>
    <t xml:space="preserve">Redondance | haute dispo </t>
  </si>
  <si>
    <t>KUBERNETES</t>
  </si>
  <si>
    <t xml:space="preserve">Reverse proxy container </t>
  </si>
  <si>
    <t>TRAEFIK (ingress)</t>
  </si>
  <si>
    <t xml:space="preserve">Gestion Kubernetes </t>
  </si>
  <si>
    <t>PORTAINER</t>
  </si>
  <si>
    <t xml:space="preserve">Reverse proxy frontal </t>
  </si>
  <si>
    <t>CADDY</t>
  </si>
  <si>
    <t>CODE</t>
  </si>
  <si>
    <t>Gestionnaire de version</t>
  </si>
  <si>
    <t xml:space="preserve">? Github | Gitea </t>
  </si>
  <si>
    <t>CI/CD</t>
  </si>
  <si>
    <t>NULL</t>
  </si>
  <si>
    <t>Front</t>
  </si>
  <si>
    <t>Type script</t>
  </si>
  <si>
    <r>
      <rPr>
        <b/>
        <sz val="14"/>
        <color rgb="FF000000"/>
        <rFont val="Arial"/>
        <family val="2"/>
      </rPr>
      <t>API</t>
    </r>
    <r>
      <rPr>
        <sz val="14"/>
        <color rgb="FF000000"/>
        <rFont val="Arial"/>
        <family val="2"/>
      </rPr>
      <t xml:space="preserve"> </t>
    </r>
  </si>
  <si>
    <t>.NET 10</t>
  </si>
  <si>
    <t xml:space="preserve">Gestion de projet </t>
  </si>
  <si>
    <t>Azure Devops</t>
  </si>
  <si>
    <t>SECURITY</t>
  </si>
  <si>
    <t>MONITORING</t>
  </si>
  <si>
    <t xml:space="preserve">SIEM </t>
  </si>
  <si>
    <t>WAZUH</t>
  </si>
  <si>
    <t xml:space="preserve"> INFRA's backup</t>
  </si>
  <si>
    <t>PBS</t>
  </si>
  <si>
    <t>DATA's backup</t>
  </si>
  <si>
    <t>Analyse IaC K8S</t>
  </si>
  <si>
    <t>TRIVY</t>
  </si>
  <si>
    <t xml:space="preserve">SSO / Authentification Management </t>
  </si>
  <si>
    <t>Analyse d'image docker</t>
  </si>
  <si>
    <t>TRIVY (CI/CD)</t>
  </si>
  <si>
    <t>LOGGING</t>
  </si>
  <si>
    <t xml:space="preserve">Log ingester </t>
  </si>
  <si>
    <t>Visibilité des LOGS</t>
  </si>
  <si>
    <t xml:space="preserve">Collecting agent </t>
  </si>
  <si>
    <t>GRAFANA ALLOY</t>
  </si>
  <si>
    <t>ANNEXES / OUTILS</t>
  </si>
  <si>
    <t>Password Manager | Vault</t>
  </si>
  <si>
    <t>?</t>
  </si>
  <si>
    <t xml:space="preserve">Password Manager | Vault </t>
  </si>
  <si>
    <t>Hashicorp Vault</t>
  </si>
  <si>
    <t xml:space="preserve"> </t>
  </si>
  <si>
    <t>Node type</t>
  </si>
  <si>
    <t>Name (naming)</t>
  </si>
  <si>
    <t>Kubernetes role</t>
  </si>
  <si>
    <t>Hosted on</t>
  </si>
  <si>
    <t>Services / Pods hosted</t>
  </si>
  <si>
    <t>vCPU allocated</t>
  </si>
  <si>
    <t>RAM allocated (GB)</t>
  </si>
  <si>
    <t>Notes</t>
  </si>
  <si>
    <t>MASTERS - always ON (control-plane) - 1 per site</t>
  </si>
  <si>
    <t>MASTER</t>
  </si>
  <si>
    <t>k8s-master-01</t>
  </si>
  <si>
    <t>control-plane + etcd</t>
  </si>
  <si>
    <t>Proxmox A</t>
  </si>
  <si>
    <t>kube-apiserver, etcd, scheduler, controller-manager</t>
  </si>
  <si>
    <t>Site A</t>
  </si>
  <si>
    <t>k8s-master-02</t>
  </si>
  <si>
    <t>Proxmox B</t>
  </si>
  <si>
    <t>Site B</t>
  </si>
  <si>
    <t>k8s-master-03</t>
  </si>
  <si>
    <t>control-plane + etcd (witness)</t>
  </si>
  <si>
    <t>Witness site (independent of A/B) Site C ?</t>
  </si>
  <si>
    <t>Must stay outside A and B to preserve etcd quorum if one of the two goes down</t>
  </si>
  <si>
    <t>WORKERS - always ON spread across A and B</t>
  </si>
  <si>
    <t>WORKER</t>
  </si>
  <si>
    <t>k8s-WORKER-01</t>
  </si>
  <si>
    <t>WORKER node</t>
  </si>
  <si>
    <t>k8s-WORKER-02</t>
  </si>
  <si>
    <t>k8s-WORKER-03</t>
  </si>
  <si>
    <t>k8s-WORKER-04</t>
  </si>
  <si>
    <t>reverse proxy / ingress controller</t>
  </si>
  <si>
    <t>WORKER(s) : TBD</t>
  </si>
  <si>
    <t>K8s ingress controller</t>
  </si>
  <si>
    <t>Already listed in the main table</t>
  </si>
  <si>
    <t>Cluster management</t>
  </si>
  <si>
    <t>K8s GUI / CLI management</t>
  </si>
  <si>
    <t>Outside cluster or dedicated WORKER</t>
  </si>
  <si>
    <t>K8s administration</t>
  </si>
  <si>
    <t>Security</t>
  </si>
  <si>
    <t>continuous image + config scanning</t>
  </si>
  <si>
    <t>Trivy Operator (in-cluster)</t>
  </si>
  <si>
    <t>Complements the Trivy CI/CD already planned</t>
  </si>
  <si>
    <t>TOTAL / SITE - (mode capacity only)</t>
  </si>
  <si>
    <t>Total</t>
  </si>
  <si>
    <t>—</t>
  </si>
  <si>
    <t>Sum of masters + WORKERs + services hosted on A</t>
  </si>
  <si>
    <t>Sum of masters + WORKERs + services hosted on B</t>
  </si>
  <si>
    <t>Witness site</t>
  </si>
  <si>
    <t>Master 03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</si>
</sst>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i/>
      <sz val="16"/>
      <color theme="9" tint="-0.249977111117893"/>
      <name val="Arial"/>
      <family val="2"/>
    </font>
    <font>
      <b/>
      <sz val="16"/>
      <color rgb="FF00B050"/>
      <name val="Arial"/>
      <family val="2"/>
    </font>
    <font>
      <b/>
      <sz val="16"/>
      <color rgb="FF2F5496"/>
      <name val="Arial"/>
      <family val="2"/>
    </font>
    <font>
      <b/>
      <sz val="16"/>
      <color rgb="FF00802B"/>
      <name val="Arial"/>
      <family val="2"/>
    </font>
    <font>
      <b/>
      <sz val="16"/>
      <name val="Arial"/>
      <family val="2"/>
    </font>
    <font>
      <sz val="16"/>
      <color rgb="FF000000"/>
      <name val="Arial"/>
    </font>
    <font>
      <b/>
      <sz val="16"/>
      <color rgb="FF000000"/>
      <name val="Arial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name val="Arial"/>
      <family val="2"/>
    </font>
    <font>
      <b/>
      <sz val="10"/>
      <color theme="3"/>
      <name val="Arial"/>
      <family val="2"/>
    </font>
    <font>
      <b/>
      <sz val="10"/>
      <color rgb="FF00B050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b/>
      <sz val="14"/>
      <color rgb="FF00B050"/>
      <name val="Arial"/>
      <family val="2"/>
    </font>
    <font>
      <b/>
      <sz val="16"/>
      <color theme="3"/>
      <name val="Arial"/>
      <family val="2"/>
    </font>
    <font>
      <sz val="16"/>
      <color rgb="FF00B050"/>
      <name val="Calibri"/>
      <family val="2"/>
      <scheme val="minor"/>
    </font>
    <font>
      <b/>
      <sz val="16"/>
      <color theme="9"/>
      <name val="Arial"/>
      <family val="2"/>
    </font>
    <font>
      <b/>
      <sz val="16"/>
      <color theme="9"/>
      <name val="Calibri"/>
      <family val="2"/>
      <scheme val="minor"/>
    </font>
    <font>
      <b/>
      <sz val="20"/>
      <color rgb="FFFFFFFF"/>
      <name val="Arial"/>
      <family val="2"/>
    </font>
    <font>
      <sz val="20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rgb="FFCC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5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5" fillId="0" borderId="0" xfId="1"/>
    <xf numFmtId="0" fontId="24" fillId="0" borderId="6" xfId="1" applyFont="1" applyBorder="1" applyAlignment="1">
      <alignment horizontal="center" vertical="center"/>
    </xf>
    <xf numFmtId="0" fontId="24" fillId="8" borderId="6" xfId="1" applyFont="1" applyFill="1" applyBorder="1" applyAlignment="1">
      <alignment horizontal="center" vertical="center"/>
    </xf>
    <xf numFmtId="0" fontId="24" fillId="8" borderId="6" xfId="1" applyFont="1" applyFill="1" applyBorder="1" applyAlignment="1">
      <alignment horizontal="left" vertical="center" wrapText="1"/>
    </xf>
    <xf numFmtId="0" fontId="24" fillId="0" borderId="6" xfId="1" applyFont="1" applyBorder="1" applyAlignment="1">
      <alignment horizontal="center" vertical="center" wrapText="1"/>
    </xf>
    <xf numFmtId="0" fontId="27" fillId="0" borderId="6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20" fontId="16" fillId="5" borderId="2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9" fillId="0" borderId="6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30" fillId="0" borderId="6" xfId="1" applyFont="1" applyBorder="1" applyAlignment="1">
      <alignment horizontal="center" vertical="center"/>
    </xf>
    <xf numFmtId="0" fontId="29" fillId="8" borderId="6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center" vertical="center" wrapText="1"/>
    </xf>
    <xf numFmtId="0" fontId="31" fillId="0" borderId="6" xfId="1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33" fillId="0" borderId="0" xfId="0" applyFont="1"/>
    <xf numFmtId="0" fontId="2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3" fillId="0" borderId="1" xfId="0" applyFont="1" applyBorder="1"/>
    <xf numFmtId="0" fontId="32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3" borderId="2" xfId="0" applyFont="1" applyFill="1" applyBorder="1" applyAlignment="1">
      <alignment horizontal="left" vertical="center"/>
    </xf>
    <xf numFmtId="0" fontId="14" fillId="0" borderId="6" xfId="1" applyFont="1" applyBorder="1" applyAlignment="1">
      <alignment vertical="center" wrapText="1"/>
    </xf>
    <xf numFmtId="0" fontId="14" fillId="8" borderId="6" xfId="1" applyFont="1" applyFill="1" applyBorder="1" applyAlignment="1">
      <alignment horizontal="center" vertical="center"/>
    </xf>
    <xf numFmtId="0" fontId="39" fillId="0" borderId="6" xfId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9" fillId="9" borderId="7" xfId="1" applyFont="1" applyFill="1" applyBorder="1" applyAlignment="1">
      <alignment horizontal="center" vertical="center"/>
    </xf>
    <xf numFmtId="0" fontId="26" fillId="9" borderId="8" xfId="1" applyFont="1" applyFill="1" applyBorder="1" applyAlignment="1">
      <alignment horizontal="center" vertical="center"/>
    </xf>
    <xf numFmtId="0" fontId="26" fillId="9" borderId="9" xfId="1" applyFont="1" applyFill="1" applyBorder="1" applyAlignment="1">
      <alignment horizontal="center" vertical="center"/>
    </xf>
    <xf numFmtId="0" fontId="38" fillId="6" borderId="10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38" fillId="6" borderId="12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E6A69D26-8B1C-465D-A65A-4740EBB23BA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T37"/>
  <sheetViews>
    <sheetView tabSelected="1" zoomScale="70" zoomScaleNormal="70" workbookViewId="0">
      <pane ySplit="1" topLeftCell="A15" activePane="bottomLeft" state="frozen"/>
      <selection pane="bottomLeft" activeCell="D19" sqref="D19"/>
    </sheetView>
  </sheetViews>
  <sheetFormatPr defaultColWidth="8.85546875" defaultRowHeight="21"/>
  <cols>
    <col min="1" max="1" width="40.7109375" style="2" customWidth="1"/>
    <col min="2" max="2" width="63.28515625" style="2" customWidth="1"/>
    <col min="3" max="3" width="49" style="2" customWidth="1"/>
    <col min="4" max="4" width="18" style="48" customWidth="1"/>
    <col min="5" max="5" width="74.7109375" style="2" customWidth="1"/>
    <col min="6" max="16384" width="8.85546875" style="2"/>
  </cols>
  <sheetData>
    <row r="1" spans="1:5" ht="18.600000000000001" customHeight="1">
      <c r="A1" s="1" t="s">
        <v>0</v>
      </c>
      <c r="B1" s="1" t="s">
        <v>1</v>
      </c>
      <c r="C1" s="1" t="s">
        <v>2</v>
      </c>
      <c r="D1" s="49" t="s">
        <v>3</v>
      </c>
      <c r="E1" s="1" t="s">
        <v>4</v>
      </c>
    </row>
    <row r="2" spans="1:5" ht="25.9">
      <c r="A2" s="81" t="s">
        <v>5</v>
      </c>
      <c r="B2" s="82"/>
      <c r="C2" s="82"/>
      <c r="D2" s="82"/>
      <c r="E2" s="82"/>
    </row>
    <row r="3" spans="1:5" ht="49.9" customHeight="1">
      <c r="A3" s="55" t="s">
        <v>6</v>
      </c>
      <c r="B3" s="36" t="s">
        <v>7</v>
      </c>
      <c r="C3" s="51" t="s">
        <v>8</v>
      </c>
      <c r="D3" s="3" t="s">
        <v>9</v>
      </c>
      <c r="E3" s="36" t="s">
        <v>10</v>
      </c>
    </row>
    <row r="4" spans="1:5" ht="37.15" customHeight="1">
      <c r="A4" s="81" t="s">
        <v>11</v>
      </c>
      <c r="B4" s="82"/>
      <c r="C4" s="82"/>
      <c r="D4" s="82"/>
      <c r="E4" s="82"/>
    </row>
    <row r="5" spans="1:5" ht="49.9" customHeight="1">
      <c r="A5" s="55" t="s">
        <v>12</v>
      </c>
      <c r="B5" s="36" t="s">
        <v>13</v>
      </c>
      <c r="C5" s="37" t="s">
        <v>14</v>
      </c>
      <c r="D5" s="3" t="s">
        <v>9</v>
      </c>
      <c r="E5" s="36" t="s">
        <v>15</v>
      </c>
    </row>
    <row r="6" spans="1:5" ht="49.9" customHeight="1">
      <c r="A6" s="55" t="s">
        <v>16</v>
      </c>
      <c r="B6" s="36" t="s">
        <v>17</v>
      </c>
      <c r="C6" s="51" t="s">
        <v>14</v>
      </c>
      <c r="D6" s="3" t="s">
        <v>18</v>
      </c>
      <c r="E6" s="36" t="s">
        <v>19</v>
      </c>
    </row>
    <row r="7" spans="1:5" ht="37.15" customHeight="1">
      <c r="A7" s="81" t="s">
        <v>20</v>
      </c>
      <c r="B7" s="82"/>
      <c r="C7" s="82"/>
      <c r="D7" s="82"/>
      <c r="E7" s="82"/>
    </row>
    <row r="8" spans="1:5" ht="49.9" customHeight="1">
      <c r="A8" s="55" t="s">
        <v>21</v>
      </c>
      <c r="B8" s="36" t="s">
        <v>22</v>
      </c>
      <c r="C8" s="37" t="s">
        <v>23</v>
      </c>
      <c r="D8" s="3" t="s">
        <v>24</v>
      </c>
      <c r="E8" s="36" t="s">
        <v>25</v>
      </c>
    </row>
    <row r="9" spans="1:5" ht="49.9" customHeight="1">
      <c r="A9" s="55" t="s">
        <v>26</v>
      </c>
      <c r="B9" s="36" t="s">
        <v>27</v>
      </c>
      <c r="C9" s="37" t="s">
        <v>23</v>
      </c>
      <c r="D9" s="3" t="s">
        <v>24</v>
      </c>
      <c r="E9" s="36" t="s">
        <v>28</v>
      </c>
    </row>
    <row r="10" spans="1:5" ht="60" customHeight="1">
      <c r="A10" s="81" t="s">
        <v>29</v>
      </c>
      <c r="B10" s="82"/>
      <c r="C10" s="82"/>
      <c r="D10" s="82"/>
      <c r="E10" s="82"/>
    </row>
    <row r="11" spans="1:5" ht="49.9" customHeight="1">
      <c r="A11" s="55" t="s">
        <v>29</v>
      </c>
      <c r="B11" s="36" t="s">
        <v>30</v>
      </c>
      <c r="C11" s="37" t="s">
        <v>31</v>
      </c>
      <c r="D11" s="3" t="s">
        <v>24</v>
      </c>
      <c r="E11" s="36" t="s">
        <v>32</v>
      </c>
    </row>
    <row r="12" spans="1:5" ht="49.9" customHeight="1">
      <c r="A12" s="55" t="s">
        <v>33</v>
      </c>
      <c r="B12" s="36" t="s">
        <v>34</v>
      </c>
      <c r="C12" s="37" t="s">
        <v>35</v>
      </c>
      <c r="D12" s="3" t="s">
        <v>24</v>
      </c>
      <c r="E12" s="36" t="s">
        <v>36</v>
      </c>
    </row>
    <row r="13" spans="1:5" ht="60" customHeight="1">
      <c r="A13" s="81" t="s">
        <v>37</v>
      </c>
      <c r="B13" s="82"/>
      <c r="C13" s="82"/>
      <c r="D13" s="82"/>
      <c r="E13" s="82"/>
    </row>
    <row r="14" spans="1:5" ht="49.9" customHeight="1">
      <c r="A14" s="55" t="s">
        <v>38</v>
      </c>
      <c r="B14" s="36" t="s">
        <v>39</v>
      </c>
      <c r="C14" s="37" t="s">
        <v>40</v>
      </c>
      <c r="D14" s="3" t="s">
        <v>24</v>
      </c>
      <c r="E14" s="36" t="s">
        <v>41</v>
      </c>
    </row>
    <row r="15" spans="1:5" ht="49.9" customHeight="1">
      <c r="A15" s="55" t="s">
        <v>38</v>
      </c>
      <c r="B15" s="36" t="s">
        <v>42</v>
      </c>
      <c r="C15" s="37" t="s">
        <v>43</v>
      </c>
      <c r="D15" s="3" t="s">
        <v>24</v>
      </c>
      <c r="E15" s="36" t="s">
        <v>44</v>
      </c>
    </row>
    <row r="16" spans="1:5" ht="49.9" customHeight="1">
      <c r="A16" s="55" t="s">
        <v>38</v>
      </c>
      <c r="B16" s="36" t="s">
        <v>45</v>
      </c>
      <c r="C16" s="37" t="s">
        <v>46</v>
      </c>
      <c r="D16" s="3" t="s">
        <v>24</v>
      </c>
      <c r="E16" s="36" t="s">
        <v>47</v>
      </c>
    </row>
    <row r="17" spans="1:2178" ht="49.9" customHeight="1">
      <c r="A17" s="83" t="s">
        <v>48</v>
      </c>
      <c r="B17" s="84"/>
      <c r="C17" s="84"/>
      <c r="D17" s="84"/>
      <c r="E17" s="84"/>
    </row>
    <row r="18" spans="1:2178" ht="49.9" customHeight="1">
      <c r="A18" s="56" t="s">
        <v>49</v>
      </c>
      <c r="B18" s="50" t="s">
        <v>50</v>
      </c>
      <c r="C18" s="52" t="s">
        <v>51</v>
      </c>
      <c r="D18" s="53" t="s">
        <v>52</v>
      </c>
      <c r="E18" s="61" t="s">
        <v>53</v>
      </c>
    </row>
    <row r="19" spans="1:2178" ht="49.9" customHeight="1">
      <c r="A19" s="56" t="s">
        <v>54</v>
      </c>
      <c r="B19" s="50" t="s">
        <v>55</v>
      </c>
      <c r="C19" s="52" t="s">
        <v>56</v>
      </c>
      <c r="D19" s="91" t="s">
        <v>57</v>
      </c>
      <c r="E19" s="61" t="s">
        <v>58</v>
      </c>
    </row>
    <row r="20" spans="1:2178" ht="49.9" customHeight="1">
      <c r="A20" s="56" t="s">
        <v>59</v>
      </c>
      <c r="B20" s="50" t="s">
        <v>60</v>
      </c>
      <c r="C20" s="52" t="s">
        <v>35</v>
      </c>
      <c r="D20" s="54" t="s">
        <v>24</v>
      </c>
      <c r="E20" s="61" t="s">
        <v>61</v>
      </c>
    </row>
    <row r="21" spans="1:2178" ht="49.9" customHeight="1">
      <c r="A21" s="56" t="s">
        <v>62</v>
      </c>
      <c r="B21" s="50" t="s">
        <v>63</v>
      </c>
      <c r="C21" s="52" t="s">
        <v>64</v>
      </c>
      <c r="D21" s="54" t="s">
        <v>9</v>
      </c>
      <c r="E21" s="61" t="s">
        <v>65</v>
      </c>
    </row>
    <row r="22" spans="1:2178" ht="49.9" customHeight="1">
      <c r="A22" s="55" t="s">
        <v>66</v>
      </c>
      <c r="B22" s="36" t="s">
        <v>67</v>
      </c>
      <c r="C22" s="37" t="s">
        <v>68</v>
      </c>
      <c r="D22" s="3" t="s">
        <v>9</v>
      </c>
      <c r="E22" s="36" t="s">
        <v>69</v>
      </c>
    </row>
    <row r="23" spans="1:2178" ht="49.9" customHeight="1">
      <c r="A23" s="76" t="s">
        <v>70</v>
      </c>
      <c r="B23" s="77"/>
      <c r="C23" s="77"/>
      <c r="D23" s="77"/>
      <c r="E23" s="78"/>
    </row>
    <row r="24" spans="1:2178" ht="49.9" customHeight="1">
      <c r="A24" s="57" t="s">
        <v>71</v>
      </c>
      <c r="B24" s="58" t="s">
        <v>72</v>
      </c>
      <c r="C24" s="59" t="s">
        <v>73</v>
      </c>
      <c r="D24" s="60" t="s">
        <v>24</v>
      </c>
      <c r="E24" s="58" t="s">
        <v>74</v>
      </c>
    </row>
    <row r="25" spans="1:2178" ht="49.9" customHeight="1">
      <c r="A25" s="57" t="s">
        <v>75</v>
      </c>
      <c r="B25" s="58" t="s">
        <v>76</v>
      </c>
      <c r="C25" s="59" t="s">
        <v>77</v>
      </c>
      <c r="D25" s="60" t="s">
        <v>24</v>
      </c>
      <c r="E25" s="58" t="s">
        <v>78</v>
      </c>
    </row>
    <row r="26" spans="1:2178" s="38" customFormat="1" ht="49.9" customHeight="1">
      <c r="A26" s="76" t="s">
        <v>79</v>
      </c>
      <c r="B26" s="77"/>
      <c r="C26" s="77"/>
      <c r="D26" s="77"/>
      <c r="E26" s="77"/>
    </row>
    <row r="27" spans="1:2178" ht="49.9" customHeight="1">
      <c r="A27" s="55" t="s">
        <v>80</v>
      </c>
      <c r="B27" s="36" t="s">
        <v>81</v>
      </c>
      <c r="C27" s="37" t="s">
        <v>82</v>
      </c>
      <c r="D27" s="3" t="s">
        <v>24</v>
      </c>
      <c r="E27" s="36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9"/>
      <c r="MM27" s="39"/>
      <c r="MN27" s="39"/>
      <c r="MO27" s="39"/>
      <c r="MP27" s="39"/>
      <c r="MQ27" s="39"/>
      <c r="MR27" s="39"/>
      <c r="MS27" s="39"/>
      <c r="MT27" s="39"/>
      <c r="MU27" s="39"/>
      <c r="MV27" s="39"/>
      <c r="MW27" s="39"/>
      <c r="MX27" s="39"/>
      <c r="MY27" s="39"/>
      <c r="MZ27" s="39"/>
      <c r="NA27" s="39"/>
      <c r="NB27" s="39"/>
      <c r="NC27" s="39"/>
      <c r="ND27" s="39"/>
      <c r="NE27" s="39"/>
      <c r="NF27" s="39"/>
      <c r="NG27" s="39"/>
      <c r="NH27" s="39"/>
      <c r="NI27" s="39"/>
      <c r="NJ27" s="39"/>
      <c r="NK27" s="39"/>
      <c r="NL27" s="39"/>
      <c r="NM27" s="39"/>
      <c r="NN27" s="39"/>
      <c r="NO27" s="39"/>
      <c r="NP27" s="39"/>
      <c r="NQ27" s="39"/>
      <c r="NR27" s="39"/>
      <c r="NS27" s="39"/>
      <c r="NT27" s="39"/>
      <c r="NU27" s="39"/>
      <c r="NV27" s="39"/>
      <c r="NW27" s="39"/>
      <c r="NX27" s="39"/>
      <c r="NY27" s="39"/>
      <c r="NZ27" s="39"/>
      <c r="OA27" s="39"/>
      <c r="OB27" s="39"/>
      <c r="OC27" s="39"/>
      <c r="OD27" s="39"/>
      <c r="OE27" s="39"/>
      <c r="OF27" s="39"/>
      <c r="OG27" s="39"/>
      <c r="OH27" s="39"/>
      <c r="OI27" s="39"/>
      <c r="OJ27" s="39"/>
      <c r="OK27" s="39"/>
      <c r="OL27" s="39"/>
      <c r="OM27" s="39"/>
      <c r="ON27" s="39"/>
      <c r="OO27" s="39"/>
      <c r="OP27" s="39"/>
      <c r="OQ27" s="39"/>
      <c r="OR27" s="39"/>
      <c r="OS27" s="39"/>
      <c r="OT27" s="39"/>
      <c r="OU27" s="39"/>
      <c r="OV27" s="39"/>
      <c r="OW27" s="39"/>
      <c r="OX27" s="39"/>
      <c r="OY27" s="39"/>
      <c r="OZ27" s="39"/>
      <c r="PA27" s="39"/>
      <c r="PB27" s="39"/>
      <c r="PC27" s="39"/>
      <c r="PD27" s="39"/>
      <c r="PE27" s="39"/>
      <c r="PF27" s="39"/>
      <c r="PG27" s="39"/>
      <c r="PH27" s="39"/>
      <c r="PI27" s="39"/>
      <c r="PJ27" s="39"/>
      <c r="PK27" s="39"/>
      <c r="PL27" s="39"/>
      <c r="PM27" s="39"/>
      <c r="PN27" s="39"/>
      <c r="PO27" s="39"/>
      <c r="PP27" s="39"/>
      <c r="PQ27" s="39"/>
      <c r="PR27" s="39"/>
      <c r="PS27" s="39"/>
      <c r="PT27" s="39"/>
      <c r="PU27" s="39"/>
      <c r="PV27" s="39"/>
      <c r="PW27" s="39"/>
      <c r="PX27" s="39"/>
      <c r="PY27" s="39"/>
      <c r="PZ27" s="39"/>
      <c r="QA27" s="39"/>
      <c r="QB27" s="39"/>
      <c r="QC27" s="39"/>
      <c r="QD27" s="39"/>
      <c r="QE27" s="39"/>
      <c r="QF27" s="39"/>
      <c r="QG27" s="39"/>
      <c r="QH27" s="39"/>
      <c r="QI27" s="39"/>
      <c r="QJ27" s="39"/>
      <c r="QK27" s="39"/>
      <c r="QL27" s="39"/>
      <c r="QM27" s="39"/>
      <c r="QN27" s="39"/>
      <c r="QO27" s="39"/>
      <c r="QP27" s="39"/>
      <c r="QQ27" s="39"/>
      <c r="QR27" s="39"/>
      <c r="QS27" s="39"/>
      <c r="QT27" s="39"/>
      <c r="QU27" s="39"/>
      <c r="QV27" s="39"/>
      <c r="QW27" s="39"/>
      <c r="QX27" s="39"/>
      <c r="QY27" s="39"/>
      <c r="QZ27" s="39"/>
      <c r="RA27" s="39"/>
      <c r="RB27" s="39"/>
      <c r="RC27" s="39"/>
      <c r="RD27" s="39"/>
      <c r="RE27" s="39"/>
      <c r="RF27" s="39"/>
      <c r="RG27" s="39"/>
      <c r="RH27" s="39"/>
      <c r="RI27" s="39"/>
      <c r="RJ27" s="39"/>
      <c r="RK27" s="39"/>
      <c r="RL27" s="39"/>
      <c r="RM27" s="39"/>
      <c r="RN27" s="39"/>
      <c r="RO27" s="39"/>
      <c r="RP27" s="39"/>
      <c r="RQ27" s="39"/>
      <c r="RR27" s="39"/>
      <c r="RS27" s="39"/>
      <c r="RT27" s="39"/>
      <c r="RU27" s="39"/>
      <c r="RV27" s="39"/>
      <c r="RW27" s="39"/>
      <c r="RX27" s="39"/>
      <c r="RY27" s="39"/>
      <c r="RZ27" s="39"/>
      <c r="SA27" s="39"/>
      <c r="SB27" s="39"/>
      <c r="SC27" s="39"/>
      <c r="SD27" s="39"/>
      <c r="SE27" s="39"/>
      <c r="SF27" s="39"/>
      <c r="SG27" s="39"/>
      <c r="SH27" s="39"/>
      <c r="SI27" s="39"/>
      <c r="SJ27" s="39"/>
      <c r="SK27" s="39"/>
      <c r="SL27" s="39"/>
      <c r="SM27" s="39"/>
      <c r="SN27" s="39"/>
      <c r="SO27" s="39"/>
      <c r="SP27" s="39"/>
      <c r="SQ27" s="39"/>
      <c r="SR27" s="39"/>
      <c r="SS27" s="39"/>
      <c r="ST27" s="39"/>
      <c r="SU27" s="39"/>
      <c r="SV27" s="39"/>
      <c r="SW27" s="39"/>
      <c r="SX27" s="39"/>
      <c r="SY27" s="39"/>
      <c r="SZ27" s="39"/>
      <c r="TA27" s="39"/>
      <c r="TB27" s="39"/>
      <c r="TC27" s="39"/>
      <c r="TD27" s="39"/>
      <c r="TE27" s="39"/>
      <c r="TF27" s="39"/>
      <c r="TG27" s="39"/>
      <c r="TH27" s="39"/>
      <c r="TI27" s="39"/>
      <c r="TJ27" s="39"/>
      <c r="TK27" s="39"/>
      <c r="TL27" s="39"/>
      <c r="TM27" s="39"/>
      <c r="TN27" s="39"/>
      <c r="TO27" s="39"/>
      <c r="TP27" s="39"/>
      <c r="TQ27" s="39"/>
      <c r="TR27" s="39"/>
      <c r="TS27" s="39"/>
      <c r="TT27" s="39"/>
      <c r="TU27" s="39"/>
      <c r="TV27" s="39"/>
      <c r="TW27" s="39"/>
      <c r="TX27" s="39"/>
      <c r="TY27" s="39"/>
      <c r="TZ27" s="39"/>
      <c r="UA27" s="39"/>
      <c r="UB27" s="39"/>
      <c r="UC27" s="39"/>
      <c r="UD27" s="39"/>
      <c r="UE27" s="39"/>
      <c r="UF27" s="39"/>
      <c r="UG27" s="39"/>
      <c r="UH27" s="39"/>
      <c r="UI27" s="39"/>
      <c r="UJ27" s="39"/>
      <c r="UK27" s="39"/>
      <c r="UL27" s="39"/>
      <c r="UM27" s="39"/>
      <c r="UN27" s="39"/>
      <c r="UO27" s="39"/>
      <c r="UP27" s="39"/>
      <c r="UQ27" s="39"/>
      <c r="UR27" s="39"/>
      <c r="US27" s="39"/>
      <c r="UT27" s="39"/>
      <c r="UU27" s="39"/>
      <c r="UV27" s="39"/>
      <c r="UW27" s="39"/>
      <c r="UX27" s="39"/>
      <c r="UY27" s="39"/>
      <c r="UZ27" s="39"/>
      <c r="VA27" s="39"/>
      <c r="VB27" s="39"/>
      <c r="VC27" s="39"/>
      <c r="VD27" s="39"/>
      <c r="VE27" s="39"/>
      <c r="VF27" s="39"/>
      <c r="VG27" s="39"/>
      <c r="VH27" s="39"/>
      <c r="VI27" s="39"/>
      <c r="VJ27" s="39"/>
      <c r="VK27" s="39"/>
      <c r="VL27" s="39"/>
      <c r="VM27" s="39"/>
      <c r="VN27" s="39"/>
      <c r="VO27" s="39"/>
      <c r="VP27" s="39"/>
      <c r="VQ27" s="39"/>
      <c r="VR27" s="39"/>
      <c r="VS27" s="39"/>
      <c r="VT27" s="39"/>
      <c r="VU27" s="39"/>
      <c r="VV27" s="39"/>
      <c r="VW27" s="39"/>
      <c r="VX27" s="39"/>
      <c r="VY27" s="39"/>
      <c r="VZ27" s="39"/>
      <c r="WA27" s="39"/>
      <c r="WB27" s="39"/>
      <c r="WC27" s="39"/>
      <c r="WD27" s="39"/>
      <c r="WE27" s="39"/>
      <c r="WF27" s="39"/>
      <c r="WG27" s="39"/>
      <c r="WH27" s="39"/>
      <c r="WI27" s="39"/>
      <c r="WJ27" s="39"/>
      <c r="WK27" s="39"/>
      <c r="WL27" s="39"/>
      <c r="WM27" s="39"/>
      <c r="WN27" s="39"/>
      <c r="WO27" s="39"/>
      <c r="WP27" s="39"/>
      <c r="WQ27" s="39"/>
      <c r="WR27" s="39"/>
      <c r="WS27" s="39"/>
      <c r="WT27" s="39"/>
      <c r="WU27" s="39"/>
      <c r="WV27" s="39"/>
      <c r="WW27" s="39"/>
      <c r="WX27" s="39"/>
      <c r="WY27" s="39"/>
      <c r="WZ27" s="39"/>
      <c r="XA27" s="39"/>
      <c r="XB27" s="39"/>
      <c r="XC27" s="39"/>
      <c r="XD27" s="39"/>
      <c r="XE27" s="39"/>
      <c r="XF27" s="39"/>
      <c r="XG27" s="39"/>
      <c r="XH27" s="39"/>
      <c r="XI27" s="39"/>
      <c r="XJ27" s="39"/>
      <c r="XK27" s="39"/>
      <c r="XL27" s="39"/>
      <c r="XM27" s="39"/>
      <c r="XN27" s="39"/>
      <c r="XO27" s="39"/>
      <c r="XP27" s="39"/>
      <c r="XQ27" s="39"/>
      <c r="XR27" s="39"/>
      <c r="XS27" s="39"/>
      <c r="XT27" s="39"/>
      <c r="XU27" s="39"/>
      <c r="XV27" s="39"/>
      <c r="XW27" s="39"/>
      <c r="XX27" s="39"/>
      <c r="XY27" s="39"/>
      <c r="XZ27" s="39"/>
      <c r="YA27" s="39"/>
      <c r="YB27" s="39"/>
      <c r="YC27" s="39"/>
      <c r="YD27" s="39"/>
      <c r="YE27" s="39"/>
      <c r="YF27" s="39"/>
      <c r="YG27" s="39"/>
      <c r="YH27" s="39"/>
      <c r="YI27" s="39"/>
      <c r="YJ27" s="39"/>
      <c r="YK27" s="39"/>
      <c r="YL27" s="39"/>
      <c r="YM27" s="39"/>
      <c r="YN27" s="39"/>
      <c r="YO27" s="39"/>
      <c r="YP27" s="39"/>
      <c r="YQ27" s="39"/>
      <c r="YR27" s="39"/>
      <c r="YS27" s="39"/>
      <c r="YT27" s="39"/>
      <c r="YU27" s="39"/>
      <c r="YV27" s="39"/>
      <c r="YW27" s="39"/>
      <c r="YX27" s="39"/>
      <c r="YY27" s="39"/>
      <c r="YZ27" s="39"/>
      <c r="ZA27" s="39"/>
      <c r="ZB27" s="39"/>
      <c r="ZC27" s="39"/>
      <c r="ZD27" s="39"/>
      <c r="ZE27" s="39"/>
      <c r="ZF27" s="39"/>
      <c r="ZG27" s="39"/>
      <c r="ZH27" s="39"/>
      <c r="ZI27" s="39"/>
      <c r="ZJ27" s="39"/>
      <c r="ZK27" s="39"/>
      <c r="ZL27" s="39"/>
      <c r="ZM27" s="39"/>
      <c r="ZN27" s="39"/>
      <c r="ZO27" s="39"/>
      <c r="ZP27" s="39"/>
      <c r="ZQ27" s="39"/>
      <c r="ZR27" s="39"/>
      <c r="ZS27" s="39"/>
      <c r="ZT27" s="39"/>
      <c r="ZU27" s="39"/>
      <c r="ZV27" s="39"/>
      <c r="ZW27" s="39"/>
      <c r="ZX27" s="39"/>
      <c r="ZY27" s="39"/>
      <c r="ZZ27" s="39"/>
      <c r="AAA27" s="39"/>
      <c r="AAB27" s="39"/>
      <c r="AAC27" s="39"/>
      <c r="AAD27" s="39"/>
      <c r="AAE27" s="39"/>
      <c r="AAF27" s="39"/>
      <c r="AAG27" s="39"/>
      <c r="AAH27" s="39"/>
      <c r="AAI27" s="39"/>
      <c r="AAJ27" s="39"/>
      <c r="AAK27" s="39"/>
      <c r="AAL27" s="39"/>
      <c r="AAM27" s="39"/>
      <c r="AAN27" s="39"/>
      <c r="AAO27" s="39"/>
      <c r="AAP27" s="39"/>
      <c r="AAQ27" s="39"/>
      <c r="AAR27" s="39"/>
      <c r="AAS27" s="39"/>
      <c r="AAT27" s="39"/>
      <c r="AAU27" s="39"/>
      <c r="AAV27" s="39"/>
      <c r="AAW27" s="39"/>
      <c r="AAX27" s="39"/>
      <c r="AAY27" s="39"/>
      <c r="AAZ27" s="39"/>
      <c r="ABA27" s="39"/>
      <c r="ABB27" s="39"/>
      <c r="ABC27" s="39"/>
      <c r="ABD27" s="39"/>
      <c r="ABE27" s="39"/>
      <c r="ABF27" s="39"/>
      <c r="ABG27" s="39"/>
      <c r="ABH27" s="39"/>
      <c r="ABI27" s="39"/>
      <c r="ABJ27" s="39"/>
      <c r="ABK27" s="39"/>
      <c r="ABL27" s="39"/>
      <c r="ABM27" s="39"/>
      <c r="ABN27" s="39"/>
      <c r="ABO27" s="39"/>
      <c r="ABP27" s="39"/>
      <c r="ABQ27" s="39"/>
      <c r="ABR27" s="39"/>
      <c r="ABS27" s="39"/>
      <c r="ABT27" s="39"/>
      <c r="ABU27" s="39"/>
      <c r="ABV27" s="39"/>
      <c r="ABW27" s="39"/>
      <c r="ABX27" s="39"/>
      <c r="ABY27" s="39"/>
      <c r="ABZ27" s="39"/>
      <c r="ACA27" s="39"/>
      <c r="ACB27" s="39"/>
      <c r="ACC27" s="39"/>
      <c r="ACD27" s="39"/>
      <c r="ACE27" s="39"/>
      <c r="ACF27" s="39"/>
      <c r="ACG27" s="39"/>
      <c r="ACH27" s="39"/>
      <c r="ACI27" s="39"/>
      <c r="ACJ27" s="39"/>
      <c r="ACK27" s="39"/>
      <c r="ACL27" s="39"/>
      <c r="ACM27" s="39"/>
      <c r="ACN27" s="39"/>
      <c r="ACO27" s="39"/>
      <c r="ACP27" s="39"/>
      <c r="ACQ27" s="39"/>
      <c r="ACR27" s="39"/>
      <c r="ACS27" s="39"/>
      <c r="ACT27" s="39"/>
      <c r="ACU27" s="39"/>
      <c r="ACV27" s="39"/>
      <c r="ACW27" s="39"/>
      <c r="ACX27" s="39"/>
      <c r="ACY27" s="39"/>
      <c r="ACZ27" s="39"/>
      <c r="ADA27" s="39"/>
      <c r="ADB27" s="39"/>
      <c r="ADC27" s="39"/>
      <c r="ADD27" s="39"/>
      <c r="ADE27" s="39"/>
      <c r="ADF27" s="39"/>
      <c r="ADG27" s="39"/>
      <c r="ADH27" s="39"/>
      <c r="ADI27" s="39"/>
      <c r="ADJ27" s="39"/>
      <c r="ADK27" s="39"/>
      <c r="ADL27" s="39"/>
      <c r="ADM27" s="39"/>
      <c r="ADN27" s="39"/>
      <c r="ADO27" s="39"/>
      <c r="ADP27" s="39"/>
      <c r="ADQ27" s="39"/>
      <c r="ADR27" s="39"/>
      <c r="ADS27" s="39"/>
      <c r="ADT27" s="39"/>
      <c r="ADU27" s="39"/>
      <c r="ADV27" s="39"/>
      <c r="ADW27" s="39"/>
      <c r="ADX27" s="39"/>
      <c r="ADY27" s="39"/>
      <c r="ADZ27" s="39"/>
      <c r="AEA27" s="39"/>
      <c r="AEB27" s="39"/>
      <c r="AEC27" s="39"/>
      <c r="AED27" s="39"/>
      <c r="AEE27" s="39"/>
      <c r="AEF27" s="39"/>
      <c r="AEG27" s="39"/>
      <c r="AEH27" s="39"/>
      <c r="AEI27" s="39"/>
      <c r="AEJ27" s="39"/>
      <c r="AEK27" s="39"/>
      <c r="AEL27" s="39"/>
      <c r="AEM27" s="39"/>
      <c r="AEN27" s="39"/>
      <c r="AEO27" s="39"/>
      <c r="AEP27" s="39"/>
      <c r="AEQ27" s="39"/>
      <c r="AER27" s="39"/>
      <c r="AES27" s="39"/>
      <c r="AET27" s="39"/>
      <c r="AEU27" s="39"/>
      <c r="AEV27" s="39"/>
      <c r="AEW27" s="39"/>
      <c r="AEX27" s="39"/>
      <c r="AEY27" s="39"/>
      <c r="AEZ27" s="39"/>
      <c r="AFA27" s="39"/>
      <c r="AFB27" s="39"/>
      <c r="AFC27" s="39"/>
      <c r="AFD27" s="39"/>
      <c r="AFE27" s="39"/>
      <c r="AFF27" s="39"/>
      <c r="AFG27" s="39"/>
      <c r="AFH27" s="39"/>
      <c r="AFI27" s="39"/>
      <c r="AFJ27" s="39"/>
      <c r="AFK27" s="39"/>
      <c r="AFL27" s="39"/>
      <c r="AFM27" s="39"/>
      <c r="AFN27" s="39"/>
      <c r="AFO27" s="39"/>
      <c r="AFP27" s="39"/>
      <c r="AFQ27" s="39"/>
      <c r="AFR27" s="39"/>
      <c r="AFS27" s="39"/>
      <c r="AFT27" s="39"/>
      <c r="AFU27" s="39"/>
      <c r="AFV27" s="39"/>
      <c r="AFW27" s="39"/>
      <c r="AFX27" s="39"/>
      <c r="AFY27" s="39"/>
      <c r="AFZ27" s="39"/>
      <c r="AGA27" s="39"/>
      <c r="AGB27" s="39"/>
      <c r="AGC27" s="39"/>
      <c r="AGD27" s="39"/>
      <c r="AGE27" s="39"/>
      <c r="AGF27" s="39"/>
      <c r="AGG27" s="39"/>
      <c r="AGH27" s="39"/>
      <c r="AGI27" s="39"/>
      <c r="AGJ27" s="39"/>
      <c r="AGK27" s="39"/>
      <c r="AGL27" s="39"/>
      <c r="AGM27" s="39"/>
      <c r="AGN27" s="39"/>
      <c r="AGO27" s="39"/>
      <c r="AGP27" s="39"/>
      <c r="AGQ27" s="39"/>
      <c r="AGR27" s="39"/>
      <c r="AGS27" s="39"/>
      <c r="AGT27" s="39"/>
      <c r="AGU27" s="39"/>
      <c r="AGV27" s="39"/>
      <c r="AGW27" s="39"/>
      <c r="AGX27" s="39"/>
      <c r="AGY27" s="39"/>
      <c r="AGZ27" s="39"/>
      <c r="AHA27" s="39"/>
      <c r="AHB27" s="39"/>
      <c r="AHC27" s="39"/>
      <c r="AHD27" s="39"/>
      <c r="AHE27" s="39"/>
      <c r="AHF27" s="39"/>
      <c r="AHG27" s="39"/>
      <c r="AHH27" s="39"/>
      <c r="AHI27" s="39"/>
      <c r="AHJ27" s="39"/>
      <c r="AHK27" s="39"/>
      <c r="AHL27" s="39"/>
      <c r="AHM27" s="39"/>
      <c r="AHN27" s="39"/>
      <c r="AHO27" s="39"/>
      <c r="AHP27" s="39"/>
      <c r="AHQ27" s="39"/>
      <c r="AHR27" s="39"/>
      <c r="AHS27" s="39"/>
      <c r="AHT27" s="39"/>
      <c r="AHU27" s="39"/>
      <c r="AHV27" s="39"/>
      <c r="AHW27" s="39"/>
      <c r="AHX27" s="39"/>
      <c r="AHY27" s="39"/>
      <c r="AHZ27" s="39"/>
      <c r="AIA27" s="39"/>
      <c r="AIB27" s="39"/>
      <c r="AIC27" s="39"/>
      <c r="AID27" s="39"/>
      <c r="AIE27" s="39"/>
      <c r="AIF27" s="39"/>
      <c r="AIG27" s="39"/>
      <c r="AIH27" s="39"/>
      <c r="AII27" s="39"/>
      <c r="AIJ27" s="39"/>
      <c r="AIK27" s="39"/>
      <c r="AIL27" s="39"/>
      <c r="AIM27" s="39"/>
      <c r="AIN27" s="39"/>
      <c r="AIO27" s="39"/>
      <c r="AIP27" s="39"/>
      <c r="AIQ27" s="39"/>
      <c r="AIR27" s="39"/>
      <c r="AIS27" s="39"/>
      <c r="AIT27" s="39"/>
      <c r="AIU27" s="39"/>
      <c r="AIV27" s="39"/>
      <c r="AIW27" s="39"/>
      <c r="AIX27" s="39"/>
      <c r="AIY27" s="39"/>
      <c r="AIZ27" s="39"/>
      <c r="AJA27" s="39"/>
      <c r="AJB27" s="39"/>
      <c r="AJC27" s="39"/>
      <c r="AJD27" s="39"/>
      <c r="AJE27" s="39"/>
      <c r="AJF27" s="39"/>
      <c r="AJG27" s="39"/>
      <c r="AJH27" s="39"/>
      <c r="AJI27" s="39"/>
      <c r="AJJ27" s="39"/>
      <c r="AJK27" s="39"/>
      <c r="AJL27" s="39"/>
      <c r="AJM27" s="39"/>
      <c r="AJN27" s="39"/>
      <c r="AJO27" s="39"/>
      <c r="AJP27" s="39"/>
      <c r="AJQ27" s="39"/>
      <c r="AJR27" s="39"/>
      <c r="AJS27" s="39"/>
      <c r="AJT27" s="39"/>
      <c r="AJU27" s="39"/>
      <c r="AJV27" s="39"/>
      <c r="AJW27" s="39"/>
      <c r="AJX27" s="39"/>
      <c r="AJY27" s="39"/>
      <c r="AJZ27" s="39"/>
      <c r="AKA27" s="39"/>
      <c r="AKB27" s="39"/>
      <c r="AKC27" s="39"/>
      <c r="AKD27" s="39"/>
      <c r="AKE27" s="39"/>
      <c r="AKF27" s="39"/>
      <c r="AKG27" s="39"/>
      <c r="AKH27" s="39"/>
      <c r="AKI27" s="39"/>
      <c r="AKJ27" s="39"/>
      <c r="AKK27" s="39"/>
      <c r="AKL27" s="39"/>
      <c r="AKM27" s="39"/>
      <c r="AKN27" s="39"/>
      <c r="AKO27" s="39"/>
      <c r="AKP27" s="39"/>
      <c r="AKQ27" s="39"/>
      <c r="AKR27" s="39"/>
      <c r="AKS27" s="39"/>
      <c r="AKT27" s="39"/>
      <c r="AKU27" s="39"/>
      <c r="AKV27" s="39"/>
      <c r="AKW27" s="39"/>
      <c r="AKX27" s="39"/>
      <c r="AKY27" s="39"/>
      <c r="AKZ27" s="39"/>
      <c r="ALA27" s="39"/>
      <c r="ALB27" s="39"/>
      <c r="ALC27" s="39"/>
      <c r="ALD27" s="39"/>
      <c r="ALE27" s="39"/>
      <c r="ALF27" s="39"/>
      <c r="ALG27" s="39"/>
      <c r="ALH27" s="39"/>
      <c r="ALI27" s="39"/>
      <c r="ALJ27" s="39"/>
      <c r="ALK27" s="39"/>
      <c r="ALL27" s="39"/>
      <c r="ALM27" s="39"/>
      <c r="ALN27" s="39"/>
      <c r="ALO27" s="39"/>
      <c r="ALP27" s="39"/>
      <c r="ALQ27" s="39"/>
      <c r="ALR27" s="39"/>
      <c r="ALS27" s="39"/>
      <c r="ALT27" s="39"/>
      <c r="ALU27" s="39"/>
      <c r="ALV27" s="39"/>
      <c r="ALW27" s="39"/>
      <c r="ALX27" s="39"/>
      <c r="ALY27" s="39"/>
      <c r="ALZ27" s="39"/>
      <c r="AMA27" s="39"/>
      <c r="AMB27" s="39"/>
      <c r="AMC27" s="39"/>
      <c r="AMD27" s="39"/>
      <c r="AME27" s="39"/>
      <c r="AMF27" s="39"/>
      <c r="AMG27" s="39"/>
      <c r="AMH27" s="39"/>
      <c r="AMI27" s="39"/>
      <c r="AMJ27" s="39"/>
      <c r="AMK27" s="39"/>
      <c r="AML27" s="39"/>
      <c r="AMM27" s="39"/>
      <c r="AMN27" s="39"/>
      <c r="AMO27" s="39"/>
      <c r="AMP27" s="39"/>
      <c r="AMQ27" s="39"/>
      <c r="AMR27" s="39"/>
      <c r="AMS27" s="39"/>
      <c r="AMT27" s="39"/>
      <c r="AMU27" s="39"/>
      <c r="AMV27" s="39"/>
      <c r="AMW27" s="39"/>
      <c r="AMX27" s="39"/>
      <c r="AMY27" s="39"/>
      <c r="AMZ27" s="39"/>
      <c r="ANA27" s="39"/>
      <c r="ANB27" s="39"/>
      <c r="ANC27" s="39"/>
      <c r="AND27" s="39"/>
      <c r="ANE27" s="39"/>
      <c r="ANF27" s="39"/>
      <c r="ANG27" s="39"/>
      <c r="ANH27" s="39"/>
      <c r="ANI27" s="39"/>
      <c r="ANJ27" s="39"/>
      <c r="ANK27" s="39"/>
      <c r="ANL27" s="39"/>
      <c r="ANM27" s="39"/>
      <c r="ANN27" s="39"/>
      <c r="ANO27" s="39"/>
      <c r="ANP27" s="39"/>
      <c r="ANQ27" s="39"/>
      <c r="ANR27" s="39"/>
      <c r="ANS27" s="39"/>
      <c r="ANT27" s="39"/>
      <c r="ANU27" s="39"/>
      <c r="ANV27" s="39"/>
      <c r="ANW27" s="39"/>
      <c r="ANX27" s="39"/>
      <c r="ANY27" s="39"/>
      <c r="ANZ27" s="39"/>
      <c r="AOA27" s="39"/>
      <c r="AOB27" s="39"/>
      <c r="AOC27" s="39"/>
      <c r="AOD27" s="39"/>
      <c r="AOE27" s="39"/>
      <c r="AOF27" s="39"/>
      <c r="AOG27" s="39"/>
      <c r="AOH27" s="39"/>
      <c r="AOI27" s="39"/>
      <c r="AOJ27" s="39"/>
      <c r="AOK27" s="39"/>
      <c r="AOL27" s="39"/>
      <c r="AOM27" s="39"/>
      <c r="AON27" s="39"/>
      <c r="AOO27" s="39"/>
      <c r="AOP27" s="39"/>
      <c r="AOQ27" s="39"/>
      <c r="AOR27" s="39"/>
      <c r="AOS27" s="39"/>
      <c r="AOT27" s="39"/>
      <c r="AOU27" s="39"/>
      <c r="AOV27" s="39"/>
      <c r="AOW27" s="39"/>
      <c r="AOX27" s="39"/>
      <c r="AOY27" s="39"/>
      <c r="AOZ27" s="39"/>
      <c r="APA27" s="39"/>
      <c r="APB27" s="39"/>
      <c r="APC27" s="39"/>
      <c r="APD27" s="39"/>
      <c r="APE27" s="39"/>
      <c r="APF27" s="39"/>
      <c r="APG27" s="39"/>
      <c r="APH27" s="39"/>
      <c r="API27" s="39"/>
      <c r="APJ27" s="39"/>
      <c r="APK27" s="39"/>
      <c r="APL27" s="39"/>
      <c r="APM27" s="39"/>
      <c r="APN27" s="39"/>
      <c r="APO27" s="39"/>
      <c r="APP27" s="39"/>
      <c r="APQ27" s="39"/>
      <c r="APR27" s="39"/>
      <c r="APS27" s="39"/>
      <c r="APT27" s="39"/>
      <c r="APU27" s="39"/>
      <c r="APV27" s="39"/>
      <c r="APW27" s="39"/>
      <c r="APX27" s="39"/>
      <c r="APY27" s="39"/>
      <c r="APZ27" s="39"/>
      <c r="AQA27" s="39"/>
      <c r="AQB27" s="39"/>
      <c r="AQC27" s="39"/>
      <c r="AQD27" s="39"/>
      <c r="AQE27" s="39"/>
      <c r="AQF27" s="39"/>
      <c r="AQG27" s="39"/>
      <c r="AQH27" s="39"/>
      <c r="AQI27" s="39"/>
      <c r="AQJ27" s="39"/>
      <c r="AQK27" s="39"/>
      <c r="AQL27" s="39"/>
      <c r="AQM27" s="39"/>
      <c r="AQN27" s="39"/>
      <c r="AQO27" s="39"/>
      <c r="AQP27" s="39"/>
      <c r="AQQ27" s="39"/>
      <c r="AQR27" s="39"/>
      <c r="AQS27" s="39"/>
      <c r="AQT27" s="39"/>
      <c r="AQU27" s="39"/>
      <c r="AQV27" s="39"/>
      <c r="AQW27" s="39"/>
      <c r="AQX27" s="39"/>
      <c r="AQY27" s="39"/>
      <c r="AQZ27" s="39"/>
      <c r="ARA27" s="39"/>
      <c r="ARB27" s="39"/>
      <c r="ARC27" s="39"/>
      <c r="ARD27" s="39"/>
      <c r="ARE27" s="39"/>
      <c r="ARF27" s="39"/>
      <c r="ARG27" s="39"/>
      <c r="ARH27" s="39"/>
      <c r="ARI27" s="39"/>
      <c r="ARJ27" s="39"/>
      <c r="ARK27" s="39"/>
      <c r="ARL27" s="39"/>
      <c r="ARM27" s="39"/>
      <c r="ARN27" s="39"/>
      <c r="ARO27" s="39"/>
      <c r="ARP27" s="39"/>
      <c r="ARQ27" s="39"/>
      <c r="ARR27" s="39"/>
      <c r="ARS27" s="39"/>
      <c r="ART27" s="39"/>
      <c r="ARU27" s="39"/>
      <c r="ARV27" s="39"/>
      <c r="ARW27" s="39"/>
      <c r="ARX27" s="39"/>
      <c r="ARY27" s="39"/>
      <c r="ARZ27" s="39"/>
      <c r="ASA27" s="39"/>
      <c r="ASB27" s="39"/>
      <c r="ASC27" s="39"/>
      <c r="ASD27" s="39"/>
      <c r="ASE27" s="39"/>
      <c r="ASF27" s="39"/>
      <c r="ASG27" s="39"/>
      <c r="ASH27" s="39"/>
      <c r="ASI27" s="39"/>
      <c r="ASJ27" s="39"/>
      <c r="ASK27" s="39"/>
      <c r="ASL27" s="39"/>
      <c r="ASM27" s="39"/>
      <c r="ASN27" s="39"/>
      <c r="ASO27" s="39"/>
      <c r="ASP27" s="39"/>
      <c r="ASQ27" s="39"/>
      <c r="ASR27" s="39"/>
      <c r="ASS27" s="39"/>
      <c r="AST27" s="39"/>
      <c r="ASU27" s="39"/>
      <c r="ASV27" s="39"/>
      <c r="ASW27" s="39"/>
      <c r="ASX27" s="39"/>
      <c r="ASY27" s="39"/>
      <c r="ASZ27" s="39"/>
      <c r="ATA27" s="39"/>
      <c r="ATB27" s="39"/>
      <c r="ATC27" s="39"/>
      <c r="ATD27" s="39"/>
      <c r="ATE27" s="39"/>
      <c r="ATF27" s="39"/>
      <c r="ATG27" s="39"/>
      <c r="ATH27" s="39"/>
      <c r="ATI27" s="39"/>
      <c r="ATJ27" s="39"/>
      <c r="ATK27" s="39"/>
      <c r="ATL27" s="39"/>
      <c r="ATM27" s="39"/>
      <c r="ATN27" s="39"/>
      <c r="ATO27" s="39"/>
      <c r="ATP27" s="39"/>
      <c r="ATQ27" s="39"/>
      <c r="ATR27" s="39"/>
      <c r="ATS27" s="39"/>
      <c r="ATT27" s="39"/>
      <c r="ATU27" s="39"/>
      <c r="ATV27" s="39"/>
      <c r="ATW27" s="39"/>
      <c r="ATX27" s="39"/>
      <c r="ATY27" s="39"/>
      <c r="ATZ27" s="39"/>
      <c r="AUA27" s="39"/>
      <c r="AUB27" s="39"/>
      <c r="AUC27" s="39"/>
      <c r="AUD27" s="39"/>
      <c r="AUE27" s="39"/>
      <c r="AUF27" s="39"/>
      <c r="AUG27" s="39"/>
      <c r="AUH27" s="39"/>
      <c r="AUI27" s="39"/>
      <c r="AUJ27" s="39"/>
      <c r="AUK27" s="39"/>
      <c r="AUL27" s="39"/>
      <c r="AUM27" s="39"/>
      <c r="AUN27" s="39"/>
      <c r="AUO27" s="39"/>
      <c r="AUP27" s="39"/>
      <c r="AUQ27" s="39"/>
      <c r="AUR27" s="39"/>
      <c r="AUS27" s="39"/>
      <c r="AUT27" s="39"/>
      <c r="AUU27" s="39"/>
      <c r="AUV27" s="39"/>
      <c r="AUW27" s="39"/>
      <c r="AUX27" s="39"/>
      <c r="AUY27" s="39"/>
      <c r="AUZ27" s="39"/>
      <c r="AVA27" s="39"/>
      <c r="AVB27" s="39"/>
      <c r="AVC27" s="39"/>
      <c r="AVD27" s="39"/>
      <c r="AVE27" s="39"/>
      <c r="AVF27" s="39"/>
      <c r="AVG27" s="39"/>
      <c r="AVH27" s="39"/>
      <c r="AVI27" s="39"/>
      <c r="AVJ27" s="39"/>
      <c r="AVK27" s="39"/>
      <c r="AVL27" s="39"/>
      <c r="AVM27" s="39"/>
      <c r="AVN27" s="39"/>
      <c r="AVO27" s="39"/>
      <c r="AVP27" s="39"/>
      <c r="AVQ27" s="39"/>
      <c r="AVR27" s="39"/>
      <c r="AVS27" s="39"/>
      <c r="AVT27" s="39"/>
      <c r="AVU27" s="39"/>
      <c r="AVV27" s="39"/>
      <c r="AVW27" s="39"/>
      <c r="AVX27" s="39"/>
      <c r="AVY27" s="39"/>
      <c r="AVZ27" s="39"/>
      <c r="AWA27" s="39"/>
      <c r="AWB27" s="39"/>
      <c r="AWC27" s="39"/>
      <c r="AWD27" s="39"/>
      <c r="AWE27" s="39"/>
      <c r="AWF27" s="39"/>
      <c r="AWG27" s="39"/>
      <c r="AWH27" s="39"/>
      <c r="AWI27" s="39"/>
      <c r="AWJ27" s="39"/>
      <c r="AWK27" s="39"/>
      <c r="AWL27" s="39"/>
      <c r="AWM27" s="39"/>
      <c r="AWN27" s="39"/>
      <c r="AWO27" s="39"/>
      <c r="AWP27" s="39"/>
      <c r="AWQ27" s="39"/>
      <c r="AWR27" s="39"/>
      <c r="AWS27" s="39"/>
      <c r="AWT27" s="39"/>
      <c r="AWU27" s="39"/>
      <c r="AWV27" s="39"/>
      <c r="AWW27" s="39"/>
      <c r="AWX27" s="39"/>
      <c r="AWY27" s="39"/>
      <c r="AWZ27" s="39"/>
      <c r="AXA27" s="39"/>
      <c r="AXB27" s="39"/>
      <c r="AXC27" s="39"/>
      <c r="AXD27" s="39"/>
      <c r="AXE27" s="39"/>
      <c r="AXF27" s="39"/>
      <c r="AXG27" s="39"/>
      <c r="AXH27" s="39"/>
      <c r="AXI27" s="39"/>
      <c r="AXJ27" s="39"/>
      <c r="AXK27" s="39"/>
      <c r="AXL27" s="39"/>
      <c r="AXM27" s="39"/>
      <c r="AXN27" s="39"/>
      <c r="AXO27" s="39"/>
      <c r="AXP27" s="39"/>
      <c r="AXQ27" s="39"/>
      <c r="AXR27" s="39"/>
      <c r="AXS27" s="39"/>
      <c r="AXT27" s="39"/>
      <c r="AXU27" s="39"/>
      <c r="AXV27" s="39"/>
      <c r="AXW27" s="39"/>
      <c r="AXX27" s="39"/>
      <c r="AXY27" s="39"/>
      <c r="AXZ27" s="39"/>
      <c r="AYA27" s="39"/>
      <c r="AYB27" s="39"/>
      <c r="AYC27" s="39"/>
      <c r="AYD27" s="39"/>
      <c r="AYE27" s="39"/>
      <c r="AYF27" s="39"/>
      <c r="AYG27" s="39"/>
      <c r="AYH27" s="39"/>
      <c r="AYI27" s="39"/>
      <c r="AYJ27" s="39"/>
      <c r="AYK27" s="39"/>
      <c r="AYL27" s="39"/>
      <c r="AYM27" s="39"/>
      <c r="AYN27" s="39"/>
      <c r="AYO27" s="39"/>
      <c r="AYP27" s="39"/>
      <c r="AYQ27" s="39"/>
      <c r="AYR27" s="39"/>
      <c r="AYS27" s="39"/>
      <c r="AYT27" s="39"/>
      <c r="AYU27" s="39"/>
      <c r="AYV27" s="39"/>
      <c r="AYW27" s="39"/>
      <c r="AYX27" s="39"/>
      <c r="AYY27" s="39"/>
      <c r="AYZ27" s="39"/>
      <c r="AZA27" s="39"/>
      <c r="AZB27" s="39"/>
      <c r="AZC27" s="39"/>
      <c r="AZD27" s="39"/>
      <c r="AZE27" s="39"/>
      <c r="AZF27" s="39"/>
      <c r="AZG27" s="39"/>
      <c r="AZH27" s="39"/>
      <c r="AZI27" s="39"/>
      <c r="AZJ27" s="39"/>
      <c r="AZK27" s="39"/>
      <c r="AZL27" s="39"/>
      <c r="AZM27" s="39"/>
      <c r="AZN27" s="39"/>
      <c r="AZO27" s="39"/>
      <c r="AZP27" s="39"/>
      <c r="AZQ27" s="39"/>
      <c r="AZR27" s="39"/>
      <c r="AZS27" s="39"/>
      <c r="AZT27" s="39"/>
      <c r="AZU27" s="39"/>
      <c r="AZV27" s="39"/>
      <c r="AZW27" s="39"/>
      <c r="AZX27" s="39"/>
      <c r="AZY27" s="39"/>
      <c r="AZZ27" s="39"/>
      <c r="BAA27" s="39"/>
      <c r="BAB27" s="39"/>
      <c r="BAC27" s="39"/>
      <c r="BAD27" s="39"/>
      <c r="BAE27" s="39"/>
      <c r="BAF27" s="39"/>
      <c r="BAG27" s="39"/>
      <c r="BAH27" s="39"/>
      <c r="BAI27" s="39"/>
      <c r="BAJ27" s="39"/>
      <c r="BAK27" s="39"/>
      <c r="BAL27" s="39"/>
      <c r="BAM27" s="39"/>
      <c r="BAN27" s="39"/>
      <c r="BAO27" s="39"/>
      <c r="BAP27" s="39"/>
      <c r="BAQ27" s="39"/>
      <c r="BAR27" s="39"/>
      <c r="BAS27" s="39"/>
      <c r="BAT27" s="39"/>
      <c r="BAU27" s="39"/>
      <c r="BAV27" s="39"/>
      <c r="BAW27" s="39"/>
      <c r="BAX27" s="39"/>
      <c r="BAY27" s="39"/>
      <c r="BAZ27" s="39"/>
      <c r="BBA27" s="39"/>
      <c r="BBB27" s="39"/>
      <c r="BBC27" s="39"/>
      <c r="BBD27" s="39"/>
      <c r="BBE27" s="39"/>
      <c r="BBF27" s="39"/>
      <c r="BBG27" s="39"/>
      <c r="BBH27" s="39"/>
      <c r="BBI27" s="39"/>
      <c r="BBJ27" s="39"/>
      <c r="BBK27" s="39"/>
      <c r="BBL27" s="39"/>
      <c r="BBM27" s="39"/>
      <c r="BBN27" s="39"/>
      <c r="BBO27" s="39"/>
      <c r="BBP27" s="39"/>
      <c r="BBQ27" s="39"/>
      <c r="BBR27" s="39"/>
      <c r="BBS27" s="39"/>
      <c r="BBT27" s="39"/>
      <c r="BBU27" s="39"/>
      <c r="BBV27" s="39"/>
      <c r="BBW27" s="39"/>
      <c r="BBX27" s="39"/>
      <c r="BBY27" s="39"/>
      <c r="BBZ27" s="39"/>
      <c r="BCA27" s="39"/>
      <c r="BCB27" s="39"/>
      <c r="BCC27" s="39"/>
      <c r="BCD27" s="39"/>
      <c r="BCE27" s="39"/>
      <c r="BCF27" s="39"/>
      <c r="BCG27" s="39"/>
      <c r="BCH27" s="39"/>
      <c r="BCI27" s="39"/>
      <c r="BCJ27" s="39"/>
      <c r="BCK27" s="39"/>
      <c r="BCL27" s="39"/>
      <c r="BCM27" s="39"/>
      <c r="BCN27" s="39"/>
      <c r="BCO27" s="39"/>
      <c r="BCP27" s="39"/>
      <c r="BCQ27" s="39"/>
      <c r="BCR27" s="39"/>
      <c r="BCS27" s="39"/>
      <c r="BCT27" s="39"/>
      <c r="BCU27" s="39"/>
      <c r="BCV27" s="39"/>
      <c r="BCW27" s="39"/>
      <c r="BCX27" s="39"/>
      <c r="BCY27" s="39"/>
      <c r="BCZ27" s="39"/>
      <c r="BDA27" s="39"/>
      <c r="BDB27" s="39"/>
      <c r="BDC27" s="39"/>
      <c r="BDD27" s="39"/>
      <c r="BDE27" s="39"/>
      <c r="BDF27" s="39"/>
      <c r="BDG27" s="39"/>
      <c r="BDH27" s="39"/>
      <c r="BDI27" s="39"/>
      <c r="BDJ27" s="39"/>
      <c r="BDK27" s="39"/>
      <c r="BDL27" s="39"/>
      <c r="BDM27" s="39"/>
      <c r="BDN27" s="39"/>
      <c r="BDO27" s="39"/>
      <c r="BDP27" s="39"/>
      <c r="BDQ27" s="39"/>
      <c r="BDR27" s="39"/>
      <c r="BDS27" s="39"/>
      <c r="BDT27" s="39"/>
      <c r="BDU27" s="39"/>
      <c r="BDV27" s="39"/>
      <c r="BDW27" s="39"/>
      <c r="BDX27" s="39"/>
      <c r="BDY27" s="39"/>
      <c r="BDZ27" s="39"/>
      <c r="BEA27" s="39"/>
      <c r="BEB27" s="39"/>
      <c r="BEC27" s="39"/>
      <c r="BED27" s="39"/>
      <c r="BEE27" s="39"/>
      <c r="BEF27" s="39"/>
      <c r="BEG27" s="39"/>
      <c r="BEH27" s="39"/>
      <c r="BEI27" s="39"/>
      <c r="BEJ27" s="39"/>
      <c r="BEK27" s="39"/>
      <c r="BEL27" s="39"/>
      <c r="BEM27" s="39"/>
      <c r="BEN27" s="39"/>
      <c r="BEO27" s="39"/>
      <c r="BEP27" s="39"/>
      <c r="BEQ27" s="39"/>
      <c r="BER27" s="39"/>
      <c r="BES27" s="39"/>
      <c r="BET27" s="39"/>
      <c r="BEU27" s="39"/>
      <c r="BEV27" s="39"/>
      <c r="BEW27" s="39"/>
      <c r="BEX27" s="39"/>
      <c r="BEY27" s="39"/>
      <c r="BEZ27" s="39"/>
      <c r="BFA27" s="39"/>
      <c r="BFB27" s="39"/>
      <c r="BFC27" s="39"/>
      <c r="BFD27" s="39"/>
      <c r="BFE27" s="39"/>
      <c r="BFF27" s="39"/>
      <c r="BFG27" s="39"/>
      <c r="BFH27" s="39"/>
      <c r="BFI27" s="39"/>
      <c r="BFJ27" s="39"/>
      <c r="BFK27" s="39"/>
      <c r="BFL27" s="39"/>
      <c r="BFM27" s="39"/>
      <c r="BFN27" s="39"/>
      <c r="BFO27" s="39"/>
      <c r="BFP27" s="39"/>
      <c r="BFQ27" s="39"/>
      <c r="BFR27" s="39"/>
      <c r="BFS27" s="39"/>
      <c r="BFT27" s="39"/>
      <c r="BFU27" s="39"/>
      <c r="BFV27" s="39"/>
      <c r="BFW27" s="39"/>
      <c r="BFX27" s="39"/>
      <c r="BFY27" s="39"/>
      <c r="BFZ27" s="39"/>
      <c r="BGA27" s="39"/>
      <c r="BGB27" s="39"/>
      <c r="BGC27" s="39"/>
      <c r="BGD27" s="39"/>
      <c r="BGE27" s="39"/>
      <c r="BGF27" s="39"/>
      <c r="BGG27" s="39"/>
      <c r="BGH27" s="39"/>
      <c r="BGI27" s="39"/>
      <c r="BGJ27" s="39"/>
      <c r="BGK27" s="39"/>
      <c r="BGL27" s="39"/>
      <c r="BGM27" s="39"/>
      <c r="BGN27" s="39"/>
      <c r="BGO27" s="39"/>
      <c r="BGP27" s="39"/>
      <c r="BGQ27" s="39"/>
      <c r="BGR27" s="39"/>
      <c r="BGS27" s="39"/>
      <c r="BGT27" s="39"/>
      <c r="BGU27" s="39"/>
      <c r="BGV27" s="39"/>
      <c r="BGW27" s="39"/>
      <c r="BGX27" s="39"/>
      <c r="BGY27" s="39"/>
      <c r="BGZ27" s="39"/>
      <c r="BHA27" s="39"/>
      <c r="BHB27" s="39"/>
      <c r="BHC27" s="39"/>
      <c r="BHD27" s="39"/>
      <c r="BHE27" s="39"/>
      <c r="BHF27" s="39"/>
      <c r="BHG27" s="39"/>
      <c r="BHH27" s="39"/>
      <c r="BHI27" s="39"/>
      <c r="BHJ27" s="39"/>
      <c r="BHK27" s="39"/>
      <c r="BHL27" s="39"/>
      <c r="BHM27" s="39"/>
      <c r="BHN27" s="39"/>
      <c r="BHO27" s="39"/>
      <c r="BHP27" s="39"/>
      <c r="BHQ27" s="39"/>
      <c r="BHR27" s="39"/>
      <c r="BHS27" s="39"/>
      <c r="BHT27" s="39"/>
      <c r="BHU27" s="39"/>
      <c r="BHV27" s="39"/>
      <c r="BHW27" s="39"/>
      <c r="BHX27" s="39"/>
      <c r="BHY27" s="39"/>
      <c r="BHZ27" s="39"/>
      <c r="BIA27" s="39"/>
      <c r="BIB27" s="39"/>
      <c r="BIC27" s="39"/>
      <c r="BID27" s="39"/>
      <c r="BIE27" s="39"/>
      <c r="BIF27" s="39"/>
      <c r="BIG27" s="39"/>
      <c r="BIH27" s="39"/>
      <c r="BII27" s="39"/>
      <c r="BIJ27" s="39"/>
      <c r="BIK27" s="39"/>
      <c r="BIL27" s="39"/>
      <c r="BIM27" s="39"/>
      <c r="BIN27" s="39"/>
      <c r="BIO27" s="39"/>
      <c r="BIP27" s="39"/>
      <c r="BIQ27" s="39"/>
      <c r="BIR27" s="39"/>
      <c r="BIS27" s="39"/>
      <c r="BIT27" s="39"/>
      <c r="BIU27" s="39"/>
      <c r="BIV27" s="39"/>
      <c r="BIW27" s="39"/>
      <c r="BIX27" s="39"/>
      <c r="BIY27" s="39"/>
      <c r="BIZ27" s="39"/>
      <c r="BJA27" s="39"/>
      <c r="BJB27" s="39"/>
      <c r="BJC27" s="39"/>
      <c r="BJD27" s="39"/>
      <c r="BJE27" s="39"/>
      <c r="BJF27" s="39"/>
      <c r="BJG27" s="39"/>
      <c r="BJH27" s="39"/>
      <c r="BJI27" s="39"/>
      <c r="BJJ27" s="39"/>
      <c r="BJK27" s="39"/>
      <c r="BJL27" s="39"/>
      <c r="BJM27" s="39"/>
      <c r="BJN27" s="39"/>
      <c r="BJO27" s="39"/>
      <c r="BJP27" s="39"/>
      <c r="BJQ27" s="39"/>
      <c r="BJR27" s="39"/>
      <c r="BJS27" s="39"/>
      <c r="BJT27" s="39"/>
      <c r="BJU27" s="39"/>
      <c r="BJV27" s="39"/>
      <c r="BJW27" s="39"/>
      <c r="BJX27" s="39"/>
      <c r="BJY27" s="39"/>
      <c r="BJZ27" s="39"/>
      <c r="BKA27" s="39"/>
      <c r="BKB27" s="39"/>
      <c r="BKC27" s="39"/>
      <c r="BKD27" s="39"/>
      <c r="BKE27" s="39"/>
      <c r="BKF27" s="39"/>
      <c r="BKG27" s="39"/>
      <c r="BKH27" s="39"/>
      <c r="BKI27" s="39"/>
      <c r="BKJ27" s="39"/>
      <c r="BKK27" s="39"/>
      <c r="BKL27" s="39"/>
      <c r="BKM27" s="39"/>
      <c r="BKN27" s="39"/>
      <c r="BKO27" s="39"/>
      <c r="BKP27" s="39"/>
      <c r="BKQ27" s="39"/>
      <c r="BKR27" s="39"/>
      <c r="BKS27" s="39"/>
      <c r="BKT27" s="39"/>
      <c r="BKU27" s="39"/>
      <c r="BKV27" s="39"/>
      <c r="BKW27" s="39"/>
      <c r="BKX27" s="39"/>
      <c r="BKY27" s="39"/>
      <c r="BKZ27" s="39"/>
      <c r="BLA27" s="39"/>
      <c r="BLB27" s="39"/>
      <c r="BLC27" s="39"/>
      <c r="BLD27" s="39"/>
      <c r="BLE27" s="39"/>
      <c r="BLF27" s="39"/>
      <c r="BLG27" s="39"/>
      <c r="BLH27" s="39"/>
      <c r="BLI27" s="39"/>
      <c r="BLJ27" s="39"/>
      <c r="BLK27" s="39"/>
      <c r="BLL27" s="39"/>
      <c r="BLM27" s="39"/>
      <c r="BLN27" s="39"/>
      <c r="BLO27" s="39"/>
      <c r="BLP27" s="39"/>
      <c r="BLQ27" s="39"/>
      <c r="BLR27" s="39"/>
      <c r="BLS27" s="39"/>
      <c r="BLT27" s="39"/>
      <c r="BLU27" s="39"/>
      <c r="BLV27" s="39"/>
      <c r="BLW27" s="39"/>
      <c r="BLX27" s="39"/>
      <c r="BLY27" s="39"/>
      <c r="BLZ27" s="39"/>
      <c r="BMA27" s="39"/>
      <c r="BMB27" s="39"/>
      <c r="BMC27" s="39"/>
      <c r="BMD27" s="39"/>
      <c r="BME27" s="39"/>
      <c r="BMF27" s="39"/>
      <c r="BMG27" s="39"/>
      <c r="BMH27" s="39"/>
      <c r="BMI27" s="39"/>
      <c r="BMJ27" s="39"/>
      <c r="BMK27" s="39"/>
      <c r="BML27" s="39"/>
      <c r="BMM27" s="39"/>
      <c r="BMN27" s="39"/>
      <c r="BMO27" s="39"/>
      <c r="BMP27" s="39"/>
      <c r="BMQ27" s="39"/>
      <c r="BMR27" s="39"/>
      <c r="BMS27" s="39"/>
      <c r="BMT27" s="39"/>
      <c r="BMU27" s="39"/>
      <c r="BMV27" s="39"/>
      <c r="BMW27" s="39"/>
      <c r="BMX27" s="39"/>
      <c r="BMY27" s="39"/>
      <c r="BMZ27" s="39"/>
      <c r="BNA27" s="39"/>
      <c r="BNB27" s="39"/>
      <c r="BNC27" s="39"/>
      <c r="BND27" s="39"/>
      <c r="BNE27" s="39"/>
      <c r="BNF27" s="39"/>
      <c r="BNG27" s="39"/>
      <c r="BNH27" s="39"/>
      <c r="BNI27" s="39"/>
      <c r="BNJ27" s="39"/>
      <c r="BNK27" s="39"/>
      <c r="BNL27" s="39"/>
      <c r="BNM27" s="39"/>
      <c r="BNN27" s="39"/>
      <c r="BNO27" s="39"/>
      <c r="BNP27" s="39"/>
      <c r="BNQ27" s="39"/>
      <c r="BNR27" s="39"/>
      <c r="BNS27" s="39"/>
      <c r="BNT27" s="39"/>
      <c r="BNU27" s="39"/>
      <c r="BNV27" s="39"/>
      <c r="BNW27" s="39"/>
      <c r="BNX27" s="39"/>
      <c r="BNY27" s="39"/>
      <c r="BNZ27" s="39"/>
      <c r="BOA27" s="39"/>
      <c r="BOB27" s="39"/>
      <c r="BOC27" s="39"/>
      <c r="BOD27" s="39"/>
      <c r="BOE27" s="39"/>
      <c r="BOF27" s="39"/>
      <c r="BOG27" s="39"/>
      <c r="BOH27" s="39"/>
      <c r="BOI27" s="39"/>
      <c r="BOJ27" s="39"/>
      <c r="BOK27" s="39"/>
      <c r="BOL27" s="39"/>
      <c r="BOM27" s="39"/>
      <c r="BON27" s="39"/>
      <c r="BOO27" s="39"/>
      <c r="BOP27" s="39"/>
      <c r="BOQ27" s="39"/>
      <c r="BOR27" s="39"/>
      <c r="BOS27" s="39"/>
      <c r="BOT27" s="39"/>
      <c r="BOU27" s="39"/>
      <c r="BOV27" s="39"/>
      <c r="BOW27" s="39"/>
      <c r="BOX27" s="39"/>
      <c r="BOY27" s="39"/>
      <c r="BOZ27" s="39"/>
      <c r="BPA27" s="39"/>
      <c r="BPB27" s="39"/>
      <c r="BPC27" s="39"/>
      <c r="BPD27" s="39"/>
      <c r="BPE27" s="39"/>
      <c r="BPF27" s="39"/>
      <c r="BPG27" s="39"/>
      <c r="BPH27" s="39"/>
      <c r="BPI27" s="39"/>
      <c r="BPJ27" s="39"/>
      <c r="BPK27" s="39"/>
      <c r="BPL27" s="39"/>
      <c r="BPM27" s="39"/>
      <c r="BPN27" s="39"/>
      <c r="BPO27" s="39"/>
      <c r="BPP27" s="39"/>
      <c r="BPQ27" s="39"/>
      <c r="BPR27" s="39"/>
      <c r="BPS27" s="39"/>
      <c r="BPT27" s="39"/>
      <c r="BPU27" s="39"/>
      <c r="BPV27" s="39"/>
      <c r="BPW27" s="39"/>
      <c r="BPX27" s="39"/>
      <c r="BPY27" s="39"/>
      <c r="BPZ27" s="39"/>
      <c r="BQA27" s="39"/>
      <c r="BQB27" s="39"/>
      <c r="BQC27" s="39"/>
      <c r="BQD27" s="39"/>
      <c r="BQE27" s="39"/>
      <c r="BQF27" s="39"/>
      <c r="BQG27" s="39"/>
      <c r="BQH27" s="39"/>
      <c r="BQI27" s="39"/>
      <c r="BQJ27" s="39"/>
      <c r="BQK27" s="39"/>
      <c r="BQL27" s="39"/>
      <c r="BQM27" s="39"/>
      <c r="BQN27" s="39"/>
      <c r="BQO27" s="39"/>
      <c r="BQP27" s="39"/>
      <c r="BQQ27" s="39"/>
      <c r="BQR27" s="39"/>
      <c r="BQS27" s="39"/>
      <c r="BQT27" s="39"/>
      <c r="BQU27" s="39"/>
      <c r="BQV27" s="39"/>
      <c r="BQW27" s="39"/>
      <c r="BQX27" s="39"/>
      <c r="BQY27" s="39"/>
      <c r="BQZ27" s="39"/>
      <c r="BRA27" s="39"/>
      <c r="BRB27" s="39"/>
      <c r="BRC27" s="39"/>
      <c r="BRD27" s="39"/>
      <c r="BRE27" s="39"/>
      <c r="BRF27" s="39"/>
      <c r="BRG27" s="39"/>
      <c r="BRH27" s="39"/>
      <c r="BRI27" s="39"/>
      <c r="BRJ27" s="39"/>
      <c r="BRK27" s="39"/>
      <c r="BRL27" s="39"/>
      <c r="BRM27" s="39"/>
      <c r="BRN27" s="39"/>
      <c r="BRO27" s="39"/>
      <c r="BRP27" s="39"/>
      <c r="BRQ27" s="39"/>
      <c r="BRR27" s="39"/>
      <c r="BRS27" s="39"/>
      <c r="BRT27" s="39"/>
      <c r="BRU27" s="39"/>
      <c r="BRV27" s="39"/>
      <c r="BRW27" s="39"/>
      <c r="BRX27" s="39"/>
      <c r="BRY27" s="39"/>
      <c r="BRZ27" s="39"/>
      <c r="BSA27" s="39"/>
      <c r="BSB27" s="39"/>
      <c r="BSC27" s="39"/>
      <c r="BSD27" s="39"/>
      <c r="BSE27" s="39"/>
      <c r="BSF27" s="39"/>
      <c r="BSG27" s="39"/>
      <c r="BSH27" s="39"/>
      <c r="BSI27" s="39"/>
      <c r="BSJ27" s="39"/>
      <c r="BSK27" s="39"/>
      <c r="BSL27" s="39"/>
      <c r="BSM27" s="39"/>
      <c r="BSN27" s="39"/>
      <c r="BSO27" s="39"/>
      <c r="BSP27" s="39"/>
      <c r="BSQ27" s="39"/>
      <c r="BSR27" s="39"/>
      <c r="BSS27" s="39"/>
      <c r="BST27" s="39"/>
      <c r="BSU27" s="39"/>
      <c r="BSV27" s="39"/>
      <c r="BSW27" s="39"/>
      <c r="BSX27" s="39"/>
      <c r="BSY27" s="39"/>
      <c r="BSZ27" s="39"/>
      <c r="BTA27" s="39"/>
      <c r="BTB27" s="39"/>
      <c r="BTC27" s="39"/>
      <c r="BTD27" s="39"/>
      <c r="BTE27" s="39"/>
      <c r="BTF27" s="39"/>
      <c r="BTG27" s="39"/>
      <c r="BTH27" s="39"/>
      <c r="BTI27" s="39"/>
      <c r="BTJ27" s="39"/>
      <c r="BTK27" s="39"/>
      <c r="BTL27" s="39"/>
      <c r="BTM27" s="39"/>
      <c r="BTN27" s="39"/>
      <c r="BTO27" s="39"/>
      <c r="BTP27" s="39"/>
      <c r="BTQ27" s="39"/>
      <c r="BTR27" s="39"/>
      <c r="BTS27" s="39"/>
      <c r="BTT27" s="39"/>
      <c r="BTU27" s="39"/>
      <c r="BTV27" s="39"/>
      <c r="BTW27" s="39"/>
      <c r="BTX27" s="39"/>
      <c r="BTY27" s="39"/>
      <c r="BTZ27" s="39"/>
      <c r="BUA27" s="39"/>
      <c r="BUB27" s="39"/>
      <c r="BUC27" s="39"/>
      <c r="BUD27" s="39"/>
      <c r="BUE27" s="39"/>
      <c r="BUF27" s="39"/>
      <c r="BUG27" s="39"/>
      <c r="BUH27" s="39"/>
      <c r="BUI27" s="39"/>
      <c r="BUJ27" s="39"/>
      <c r="BUK27" s="39"/>
      <c r="BUL27" s="39"/>
      <c r="BUM27" s="39"/>
      <c r="BUN27" s="39"/>
      <c r="BUO27" s="39"/>
      <c r="BUP27" s="39"/>
      <c r="BUQ27" s="39"/>
      <c r="BUR27" s="39"/>
      <c r="BUS27" s="39"/>
      <c r="BUT27" s="39"/>
      <c r="BUU27" s="39"/>
      <c r="BUV27" s="39"/>
      <c r="BUW27" s="39"/>
      <c r="BUX27" s="39"/>
      <c r="BUY27" s="39"/>
      <c r="BUZ27" s="39"/>
      <c r="BVA27" s="39"/>
      <c r="BVB27" s="39"/>
      <c r="BVC27" s="39"/>
      <c r="BVD27" s="39"/>
      <c r="BVE27" s="39"/>
      <c r="BVF27" s="39"/>
      <c r="BVG27" s="39"/>
      <c r="BVH27" s="39"/>
      <c r="BVI27" s="39"/>
      <c r="BVJ27" s="39"/>
      <c r="BVK27" s="39"/>
      <c r="BVL27" s="39"/>
      <c r="BVM27" s="39"/>
      <c r="BVN27" s="39"/>
      <c r="BVO27" s="39"/>
      <c r="BVP27" s="39"/>
      <c r="BVQ27" s="39"/>
      <c r="BVR27" s="39"/>
      <c r="BVS27" s="39"/>
      <c r="BVT27" s="39"/>
      <c r="BVU27" s="39"/>
      <c r="BVV27" s="39"/>
      <c r="BVW27" s="39"/>
      <c r="BVX27" s="39"/>
      <c r="BVY27" s="39"/>
      <c r="BVZ27" s="39"/>
      <c r="BWA27" s="39"/>
      <c r="BWB27" s="39"/>
      <c r="BWC27" s="39"/>
      <c r="BWD27" s="39"/>
      <c r="BWE27" s="39"/>
      <c r="BWF27" s="39"/>
      <c r="BWG27" s="39"/>
      <c r="BWH27" s="39"/>
      <c r="BWI27" s="39"/>
      <c r="BWJ27" s="39"/>
      <c r="BWK27" s="39"/>
      <c r="BWL27" s="39"/>
      <c r="BWM27" s="39"/>
      <c r="BWN27" s="39"/>
      <c r="BWO27" s="39"/>
      <c r="BWP27" s="39"/>
      <c r="BWQ27" s="39"/>
      <c r="BWR27" s="39"/>
      <c r="BWS27" s="39"/>
      <c r="BWT27" s="39"/>
      <c r="BWU27" s="39"/>
      <c r="BWV27" s="39"/>
      <c r="BWW27" s="39"/>
      <c r="BWX27" s="39"/>
      <c r="BWY27" s="39"/>
      <c r="BWZ27" s="39"/>
      <c r="BXA27" s="39"/>
      <c r="BXB27" s="39"/>
      <c r="BXC27" s="39"/>
      <c r="BXD27" s="39"/>
      <c r="BXE27" s="39"/>
      <c r="BXF27" s="39"/>
      <c r="BXG27" s="39"/>
      <c r="BXH27" s="39"/>
      <c r="BXI27" s="39"/>
      <c r="BXJ27" s="39"/>
      <c r="BXK27" s="39"/>
      <c r="BXL27" s="39"/>
      <c r="BXM27" s="39"/>
      <c r="BXN27" s="39"/>
      <c r="BXO27" s="39"/>
      <c r="BXP27" s="39"/>
      <c r="BXQ27" s="39"/>
      <c r="BXR27" s="39"/>
      <c r="BXS27" s="39"/>
      <c r="BXT27" s="39"/>
      <c r="BXU27" s="39"/>
      <c r="BXV27" s="39"/>
      <c r="BXW27" s="39"/>
      <c r="BXX27" s="39"/>
      <c r="BXY27" s="39"/>
      <c r="BXZ27" s="39"/>
      <c r="BYA27" s="39"/>
      <c r="BYB27" s="39"/>
      <c r="BYC27" s="39"/>
      <c r="BYD27" s="39"/>
      <c r="BYE27" s="39"/>
      <c r="BYF27" s="39"/>
      <c r="BYG27" s="39"/>
      <c r="BYH27" s="39"/>
      <c r="BYI27" s="39"/>
      <c r="BYJ27" s="39"/>
      <c r="BYK27" s="39"/>
      <c r="BYL27" s="39"/>
      <c r="BYM27" s="39"/>
      <c r="BYN27" s="39"/>
      <c r="BYO27" s="39"/>
      <c r="BYP27" s="39"/>
      <c r="BYQ27" s="39"/>
      <c r="BYR27" s="39"/>
      <c r="BYS27" s="39"/>
      <c r="BYT27" s="39"/>
      <c r="BYU27" s="39"/>
      <c r="BYV27" s="39"/>
      <c r="BYW27" s="39"/>
      <c r="BYX27" s="39"/>
      <c r="BYY27" s="39"/>
      <c r="BYZ27" s="39"/>
      <c r="BZA27" s="39"/>
      <c r="BZB27" s="39"/>
      <c r="BZC27" s="39"/>
      <c r="BZD27" s="39"/>
      <c r="BZE27" s="39"/>
      <c r="BZF27" s="39"/>
      <c r="BZG27" s="39"/>
      <c r="BZH27" s="39"/>
      <c r="BZI27" s="39"/>
      <c r="BZJ27" s="39"/>
      <c r="BZK27" s="39"/>
      <c r="BZL27" s="39"/>
      <c r="BZM27" s="39"/>
      <c r="BZN27" s="39"/>
      <c r="BZO27" s="39"/>
      <c r="BZP27" s="39"/>
      <c r="BZQ27" s="39"/>
      <c r="BZR27" s="39"/>
      <c r="BZS27" s="39"/>
      <c r="BZT27" s="39"/>
      <c r="BZU27" s="39"/>
      <c r="BZV27" s="39"/>
      <c r="BZW27" s="39"/>
      <c r="BZX27" s="39"/>
      <c r="BZY27" s="39"/>
      <c r="BZZ27" s="39"/>
      <c r="CAA27" s="39"/>
      <c r="CAB27" s="39"/>
      <c r="CAC27" s="39"/>
      <c r="CAD27" s="39"/>
      <c r="CAE27" s="39"/>
      <c r="CAF27" s="39"/>
      <c r="CAG27" s="39"/>
      <c r="CAH27" s="39"/>
      <c r="CAI27" s="39"/>
      <c r="CAJ27" s="39"/>
      <c r="CAK27" s="39"/>
      <c r="CAL27" s="39"/>
      <c r="CAM27" s="39"/>
      <c r="CAN27" s="39"/>
      <c r="CAO27" s="39"/>
      <c r="CAP27" s="39"/>
      <c r="CAQ27" s="39"/>
      <c r="CAR27" s="39"/>
      <c r="CAS27" s="39"/>
      <c r="CAT27" s="39"/>
      <c r="CAU27" s="39"/>
      <c r="CAV27" s="39"/>
      <c r="CAW27" s="39"/>
      <c r="CAX27" s="39"/>
      <c r="CAY27" s="39"/>
      <c r="CAZ27" s="39"/>
      <c r="CBA27" s="39"/>
      <c r="CBB27" s="39"/>
      <c r="CBC27" s="39"/>
      <c r="CBD27" s="39"/>
      <c r="CBE27" s="39"/>
      <c r="CBF27" s="39"/>
      <c r="CBG27" s="39"/>
      <c r="CBH27" s="39"/>
      <c r="CBI27" s="39"/>
      <c r="CBJ27" s="39"/>
      <c r="CBK27" s="39"/>
      <c r="CBL27" s="39"/>
      <c r="CBM27" s="39"/>
      <c r="CBN27" s="39"/>
      <c r="CBO27" s="39"/>
      <c r="CBP27" s="39"/>
      <c r="CBQ27" s="39"/>
      <c r="CBR27" s="39"/>
      <c r="CBS27" s="39"/>
      <c r="CBT27" s="39"/>
      <c r="CBU27" s="39"/>
      <c r="CBV27" s="39"/>
      <c r="CBW27" s="39"/>
      <c r="CBX27" s="39"/>
      <c r="CBY27" s="39"/>
      <c r="CBZ27" s="39"/>
      <c r="CCA27" s="39"/>
      <c r="CCB27" s="39"/>
      <c r="CCC27" s="39"/>
      <c r="CCD27" s="39"/>
      <c r="CCE27" s="39"/>
      <c r="CCF27" s="39"/>
      <c r="CCG27" s="39"/>
      <c r="CCH27" s="39"/>
      <c r="CCI27" s="39"/>
      <c r="CCJ27" s="39"/>
      <c r="CCK27" s="39"/>
      <c r="CCL27" s="39"/>
      <c r="CCM27" s="39"/>
      <c r="CCN27" s="39"/>
      <c r="CCO27" s="39"/>
      <c r="CCP27" s="39"/>
      <c r="CCQ27" s="39"/>
      <c r="CCR27" s="39"/>
      <c r="CCS27" s="39"/>
      <c r="CCT27" s="39"/>
      <c r="CCU27" s="39"/>
      <c r="CCV27" s="39"/>
      <c r="CCW27" s="39"/>
      <c r="CCX27" s="39"/>
      <c r="CCY27" s="39"/>
      <c r="CCZ27" s="39"/>
      <c r="CDA27" s="39"/>
      <c r="CDB27" s="39"/>
      <c r="CDC27" s="39"/>
      <c r="CDD27" s="39"/>
      <c r="CDE27" s="39"/>
      <c r="CDF27" s="39"/>
      <c r="CDG27" s="39"/>
      <c r="CDH27" s="39"/>
      <c r="CDI27" s="39"/>
      <c r="CDJ27" s="39"/>
      <c r="CDK27" s="39"/>
      <c r="CDL27" s="39"/>
      <c r="CDM27" s="39"/>
      <c r="CDN27" s="39"/>
      <c r="CDO27" s="39"/>
      <c r="CDP27" s="39"/>
      <c r="CDQ27" s="39"/>
      <c r="CDR27" s="39"/>
      <c r="CDS27" s="39"/>
      <c r="CDT27" s="39"/>
      <c r="CDU27" s="39"/>
      <c r="CDV27" s="39"/>
      <c r="CDW27" s="39"/>
      <c r="CDX27" s="39"/>
      <c r="CDY27" s="39"/>
      <c r="CDZ27" s="39"/>
      <c r="CEA27" s="39"/>
      <c r="CEB27" s="39"/>
      <c r="CEC27" s="39"/>
      <c r="CED27" s="39"/>
      <c r="CEE27" s="39"/>
      <c r="CEF27" s="39"/>
      <c r="CEG27" s="39"/>
      <c r="CEH27" s="39"/>
      <c r="CEI27" s="39"/>
      <c r="CEJ27" s="39"/>
      <c r="CEK27" s="39"/>
      <c r="CEL27" s="39"/>
      <c r="CEM27" s="39"/>
      <c r="CEN27" s="39"/>
      <c r="CEO27" s="39"/>
      <c r="CEP27" s="39"/>
      <c r="CEQ27" s="39"/>
      <c r="CER27" s="39"/>
      <c r="CES27" s="39"/>
      <c r="CET27" s="39"/>
    </row>
    <row r="28" spans="1:2178" ht="49.9" customHeight="1">
      <c r="A28" s="55" t="s">
        <v>80</v>
      </c>
      <c r="B28" s="36" t="s">
        <v>83</v>
      </c>
      <c r="C28" s="37" t="s">
        <v>84</v>
      </c>
      <c r="D28" s="3" t="s">
        <v>24</v>
      </c>
      <c r="E28" s="36"/>
    </row>
    <row r="29" spans="1:2178" ht="49.9" customHeight="1">
      <c r="A29" s="55" t="s">
        <v>80</v>
      </c>
      <c r="B29" s="36" t="s">
        <v>85</v>
      </c>
      <c r="C29" s="37" t="s">
        <v>86</v>
      </c>
      <c r="D29" s="3" t="s">
        <v>24</v>
      </c>
      <c r="E29" s="36" t="s">
        <v>87</v>
      </c>
    </row>
    <row r="30" spans="1:2178" ht="49.9" customHeight="1">
      <c r="A30" s="79" t="s">
        <v>88</v>
      </c>
      <c r="B30" s="80"/>
      <c r="C30" s="80"/>
      <c r="D30" s="80"/>
      <c r="E30" s="80"/>
    </row>
    <row r="31" spans="1:2178" ht="49.9" customHeight="1">
      <c r="A31" s="55" t="s">
        <v>80</v>
      </c>
      <c r="B31" s="55" t="s">
        <v>89</v>
      </c>
      <c r="C31" s="37" t="s">
        <v>90</v>
      </c>
      <c r="D31" s="3" t="s">
        <v>24</v>
      </c>
      <c r="E31" s="36" t="s">
        <v>91</v>
      </c>
    </row>
    <row r="32" spans="1:2178" ht="49.9" customHeight="1">
      <c r="A32" s="55" t="s">
        <v>92</v>
      </c>
      <c r="B32" s="55" t="s">
        <v>93</v>
      </c>
      <c r="C32" s="37" t="s">
        <v>94</v>
      </c>
      <c r="D32" s="3" t="s">
        <v>24</v>
      </c>
      <c r="E32" s="36" t="s">
        <v>95</v>
      </c>
    </row>
    <row r="33" spans="1:5" ht="49.9" customHeight="1">
      <c r="A33" s="55" t="s">
        <v>92</v>
      </c>
      <c r="B33" s="55" t="s">
        <v>93</v>
      </c>
      <c r="C33" s="64" t="s">
        <v>93</v>
      </c>
      <c r="D33" s="3" t="s">
        <v>24</v>
      </c>
      <c r="E33" s="36" t="s">
        <v>95</v>
      </c>
    </row>
    <row r="34" spans="1:5" ht="49.9" customHeight="1">
      <c r="A34" s="79" t="s">
        <v>96</v>
      </c>
      <c r="B34" s="80"/>
      <c r="C34" s="80"/>
      <c r="D34" s="80"/>
      <c r="E34" s="80"/>
    </row>
    <row r="35" spans="1:5" ht="49.9" customHeight="1">
      <c r="A35" s="55" t="s">
        <v>92</v>
      </c>
      <c r="B35" s="55" t="s">
        <v>97</v>
      </c>
      <c r="C35" s="64" t="s">
        <v>98</v>
      </c>
      <c r="D35" s="3" t="s">
        <v>24</v>
      </c>
      <c r="E35" s="64" t="s">
        <v>99</v>
      </c>
    </row>
    <row r="36" spans="1:5">
      <c r="A36" s="62"/>
      <c r="B36" s="62"/>
      <c r="C36" s="62"/>
      <c r="D36" s="65" t="s">
        <v>100</v>
      </c>
      <c r="E36" s="62"/>
    </row>
    <row r="37" spans="1:5">
      <c r="A37" s="62"/>
      <c r="B37" s="62"/>
      <c r="C37" s="62"/>
      <c r="D37" s="63"/>
      <c r="E37" s="62"/>
    </row>
  </sheetData>
  <autoFilter ref="A1:E31" xr:uid="{00000000-0009-0000-0000-000000000000}"/>
  <mergeCells count="10">
    <mergeCell ref="A26:E26"/>
    <mergeCell ref="A23:E23"/>
    <mergeCell ref="A30:E30"/>
    <mergeCell ref="A34:E34"/>
    <mergeCell ref="A2:E2"/>
    <mergeCell ref="A7:E7"/>
    <mergeCell ref="A4:E4"/>
    <mergeCell ref="A17:E17"/>
    <mergeCell ref="A10:E10"/>
    <mergeCell ref="A13:E13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7DE1-96D8-46AD-8DC2-03BE56CA48CA}">
  <dimension ref="A1:D38"/>
  <sheetViews>
    <sheetView zoomScale="55" zoomScaleNormal="55" workbookViewId="0">
      <pane ySplit="1" topLeftCell="A5" activePane="bottomLeft" state="frozen"/>
      <selection pane="bottomLeft" activeCell="D35" sqref="D35"/>
    </sheetView>
  </sheetViews>
  <sheetFormatPr defaultColWidth="8.85546875" defaultRowHeight="21"/>
  <cols>
    <col min="1" max="1" width="98.140625" style="2" customWidth="1"/>
    <col min="2" max="2" width="32.28515625" style="2" customWidth="1"/>
    <col min="3" max="4" width="23.140625" style="2" customWidth="1"/>
    <col min="5" max="16384" width="8.85546875" style="2"/>
  </cols>
  <sheetData>
    <row r="1" spans="1:4" ht="18.600000000000001" customHeight="1">
      <c r="A1" s="5" t="s">
        <v>101</v>
      </c>
      <c r="B1" s="5" t="s">
        <v>102</v>
      </c>
      <c r="C1" s="5" t="s">
        <v>103</v>
      </c>
      <c r="D1" s="5" t="s">
        <v>104</v>
      </c>
    </row>
    <row r="2" spans="1:4" ht="60" customHeight="1">
      <c r="A2" s="86" t="s">
        <v>105</v>
      </c>
      <c r="B2" s="86"/>
      <c r="C2" s="86"/>
      <c r="D2" s="86"/>
    </row>
    <row r="3" spans="1:4" ht="49.9" customHeight="1">
      <c r="A3" s="20" t="s">
        <v>106</v>
      </c>
      <c r="B3" s="19" t="s">
        <v>107</v>
      </c>
      <c r="C3" s="9">
        <v>2</v>
      </c>
      <c r="D3" s="11">
        <v>2</v>
      </c>
    </row>
    <row r="4" spans="1:4" ht="49.9" customHeight="1">
      <c r="A4" s="20" t="s">
        <v>108</v>
      </c>
      <c r="B4" s="19" t="s">
        <v>107</v>
      </c>
      <c r="C4" s="9">
        <v>2</v>
      </c>
      <c r="D4" s="11">
        <v>2</v>
      </c>
    </row>
    <row r="5" spans="1:4" ht="49.9" customHeight="1">
      <c r="A5" s="20" t="s">
        <v>109</v>
      </c>
      <c r="B5" s="19" t="s">
        <v>110</v>
      </c>
      <c r="C5" s="9"/>
      <c r="D5" s="10"/>
    </row>
    <row r="6" spans="1:4" ht="49.9" customHeight="1">
      <c r="A6" s="20" t="s">
        <v>111</v>
      </c>
      <c r="B6" s="19" t="s">
        <v>112</v>
      </c>
      <c r="C6" s="9"/>
      <c r="D6" s="10"/>
    </row>
    <row r="7" spans="1:4" ht="49.9" customHeight="1">
      <c r="A7" s="20" t="s">
        <v>113</v>
      </c>
      <c r="B7" s="19" t="s">
        <v>114</v>
      </c>
      <c r="C7" s="9"/>
      <c r="D7" s="10"/>
    </row>
    <row r="8" spans="1:4" ht="49.9" customHeight="1">
      <c r="A8" s="20" t="s">
        <v>115</v>
      </c>
      <c r="B8" s="19" t="s">
        <v>116</v>
      </c>
      <c r="C8" s="9"/>
      <c r="D8" s="10"/>
    </row>
    <row r="9" spans="1:4" ht="49.9" customHeight="1">
      <c r="A9" s="20" t="s">
        <v>117</v>
      </c>
      <c r="B9" s="19" t="s">
        <v>118</v>
      </c>
      <c r="C9" s="10">
        <v>2</v>
      </c>
      <c r="D9" s="10">
        <v>2</v>
      </c>
    </row>
    <row r="10" spans="1:4" ht="60" customHeight="1">
      <c r="A10" s="90" t="s">
        <v>119</v>
      </c>
      <c r="B10" s="90"/>
      <c r="C10" s="90"/>
      <c r="D10" s="90"/>
    </row>
    <row r="11" spans="1:4" ht="49.9" customHeight="1">
      <c r="A11" s="23" t="s">
        <v>120</v>
      </c>
      <c r="B11" s="19" t="s">
        <v>121</v>
      </c>
      <c r="C11" s="8">
        <v>2</v>
      </c>
      <c r="D11" s="8">
        <v>0.51200000000000001</v>
      </c>
    </row>
    <row r="12" spans="1:4" ht="49.9" customHeight="1">
      <c r="A12" s="23" t="s">
        <v>122</v>
      </c>
      <c r="B12" s="19" t="s">
        <v>121</v>
      </c>
      <c r="C12" s="8" t="s">
        <v>123</v>
      </c>
      <c r="D12" s="8" t="s">
        <v>123</v>
      </c>
    </row>
    <row r="13" spans="1:4" ht="49.9" customHeight="1">
      <c r="A13" s="35" t="s">
        <v>124</v>
      </c>
      <c r="B13" s="19" t="s">
        <v>125</v>
      </c>
      <c r="C13" s="8">
        <v>1</v>
      </c>
      <c r="D13" s="8">
        <v>0.51200000000000001</v>
      </c>
    </row>
    <row r="14" spans="1:4" ht="49.9" customHeight="1">
      <c r="A14" s="21" t="s">
        <v>126</v>
      </c>
      <c r="B14" s="19" t="s">
        <v>127</v>
      </c>
      <c r="C14" s="8">
        <v>2</v>
      </c>
      <c r="D14" s="8">
        <v>0.51200000000000001</v>
      </c>
    </row>
    <row r="15" spans="1:4" ht="49.9" customHeight="1">
      <c r="A15" s="23" t="s">
        <v>128</v>
      </c>
      <c r="B15" s="19" t="s">
        <v>129</v>
      </c>
      <c r="C15" s="8" t="s">
        <v>123</v>
      </c>
      <c r="D15" s="8" t="s">
        <v>123</v>
      </c>
    </row>
    <row r="16" spans="1:4" ht="49.9" customHeight="1">
      <c r="A16" s="17"/>
      <c r="B16" s="16"/>
      <c r="C16" s="8"/>
      <c r="D16" s="8"/>
    </row>
    <row r="17" spans="1:4" ht="60" customHeight="1">
      <c r="A17" s="87" t="s">
        <v>130</v>
      </c>
      <c r="B17" s="88"/>
      <c r="C17" s="66"/>
      <c r="D17" s="66"/>
    </row>
    <row r="18" spans="1:4" ht="49.9" customHeight="1">
      <c r="A18" s="21" t="s">
        <v>131</v>
      </c>
      <c r="B18" s="19" t="s">
        <v>86</v>
      </c>
      <c r="C18" s="8">
        <v>2</v>
      </c>
      <c r="D18" s="8">
        <v>2</v>
      </c>
    </row>
    <row r="19" spans="1:4" ht="49.9" customHeight="1">
      <c r="A19" s="21" t="s">
        <v>132</v>
      </c>
      <c r="B19" s="19" t="s">
        <v>133</v>
      </c>
      <c r="C19" s="8">
        <v>2</v>
      </c>
      <c r="D19" s="8">
        <v>4</v>
      </c>
    </row>
    <row r="20" spans="1:4" ht="49.9" customHeight="1">
      <c r="A20" s="21" t="s">
        <v>134</v>
      </c>
      <c r="B20" s="19" t="s">
        <v>135</v>
      </c>
      <c r="C20" s="8">
        <v>2</v>
      </c>
      <c r="D20" s="8">
        <v>2</v>
      </c>
    </row>
    <row r="21" spans="1:4" ht="49.9" customHeight="1">
      <c r="A21" s="21" t="s">
        <v>136</v>
      </c>
      <c r="B21" s="19" t="s">
        <v>94</v>
      </c>
      <c r="C21" s="8">
        <v>2</v>
      </c>
      <c r="D21" s="8">
        <v>0.51200000000000001</v>
      </c>
    </row>
    <row r="22" spans="1:4" ht="49.9" customHeight="1">
      <c r="A22" s="21" t="s">
        <v>137</v>
      </c>
      <c r="B22" s="19" t="s">
        <v>138</v>
      </c>
      <c r="C22" s="8" t="s">
        <v>123</v>
      </c>
      <c r="D22" s="8" t="s">
        <v>123</v>
      </c>
    </row>
    <row r="23" spans="1:4" ht="49.9" customHeight="1">
      <c r="A23" s="21" t="s">
        <v>139</v>
      </c>
      <c r="B23" s="19" t="s">
        <v>43</v>
      </c>
      <c r="C23" s="8">
        <v>2</v>
      </c>
      <c r="D23" s="8">
        <v>1</v>
      </c>
    </row>
    <row r="24" spans="1:4" ht="49.9" customHeight="1">
      <c r="A24" s="21" t="s">
        <v>140</v>
      </c>
      <c r="B24" s="19" t="s">
        <v>141</v>
      </c>
      <c r="C24" s="8" t="s">
        <v>123</v>
      </c>
      <c r="D24" s="8" t="s">
        <v>123</v>
      </c>
    </row>
    <row r="25" spans="1:4" ht="49.9" customHeight="1">
      <c r="A25" s="87" t="s">
        <v>142</v>
      </c>
      <c r="B25" s="89"/>
      <c r="C25" s="7"/>
      <c r="D25" s="7"/>
    </row>
    <row r="26" spans="1:4" ht="49.9" customHeight="1">
      <c r="A26" s="24" t="s">
        <v>143</v>
      </c>
      <c r="B26" s="19" t="s">
        <v>82</v>
      </c>
      <c r="C26" s="8">
        <v>2</v>
      </c>
      <c r="D26" s="8">
        <v>2</v>
      </c>
    </row>
    <row r="27" spans="1:4" ht="49.9" customHeight="1">
      <c r="A27" s="24" t="s">
        <v>144</v>
      </c>
      <c r="B27" s="19" t="s">
        <v>84</v>
      </c>
      <c r="C27" s="8">
        <v>1</v>
      </c>
      <c r="D27" s="8">
        <v>2</v>
      </c>
    </row>
    <row r="28" spans="1:4" ht="49.9" customHeight="1">
      <c r="A28" s="24" t="s">
        <v>145</v>
      </c>
      <c r="B28" s="19" t="s">
        <v>146</v>
      </c>
      <c r="C28" s="8" t="s">
        <v>123</v>
      </c>
      <c r="D28" s="8" t="s">
        <v>123</v>
      </c>
    </row>
    <row r="29" spans="1:4" ht="49.9" customHeight="1">
      <c r="A29" s="25" t="s">
        <v>147</v>
      </c>
      <c r="B29" s="26"/>
      <c r="C29" s="27"/>
      <c r="D29" s="27"/>
    </row>
    <row r="30" spans="1:4" ht="49.9" customHeight="1">
      <c r="A30" s="22" t="s">
        <v>148</v>
      </c>
      <c r="B30" s="19" t="s">
        <v>149</v>
      </c>
      <c r="C30" s="8">
        <v>2</v>
      </c>
      <c r="D30" s="8">
        <v>2</v>
      </c>
    </row>
    <row r="31" spans="1:4" ht="49.9" customHeight="1">
      <c r="A31" s="46" t="s">
        <v>150</v>
      </c>
      <c r="B31" s="47" t="s">
        <v>151</v>
      </c>
      <c r="C31" s="8"/>
      <c r="D31" s="8"/>
    </row>
    <row r="32" spans="1:4" ht="49.9" customHeight="1">
      <c r="A32" s="85"/>
      <c r="B32" s="85"/>
      <c r="C32" s="8" t="e">
        <f>C3+C9+C11+C14+C15+C16+C18+C19+C20+C21+C26</f>
        <v>#VALUE!</v>
      </c>
      <c r="D32" s="8">
        <f>SUM(D3,D9,D11,D14,D15,D16,D18,D19,D20,D21,D26)</f>
        <v>15.536000000000001</v>
      </c>
    </row>
    <row r="33" spans="1:4">
      <c r="A33" s="18"/>
      <c r="B33" s="16"/>
      <c r="C33" s="6"/>
      <c r="D33" s="6"/>
    </row>
    <row r="34" spans="1:4" ht="20.45" customHeight="1">
      <c r="A34" s="12" t="s">
        <v>152</v>
      </c>
      <c r="B34" s="14"/>
      <c r="C34" s="4"/>
      <c r="D34" s="4"/>
    </row>
    <row r="35" spans="1:4" ht="21.6" customHeight="1">
      <c r="A35" s="12"/>
      <c r="B35" s="14"/>
      <c r="C35" s="4"/>
      <c r="D35" s="4"/>
    </row>
    <row r="36" spans="1:4">
      <c r="A36" s="12"/>
      <c r="B36" s="15"/>
      <c r="C36" s="4"/>
      <c r="D36" s="4"/>
    </row>
    <row r="37" spans="1:4">
      <c r="A37" s="12"/>
      <c r="B37" s="13"/>
      <c r="C37" s="4"/>
      <c r="D37" s="4"/>
    </row>
    <row r="38" spans="1:4">
      <c r="A38" s="12"/>
      <c r="B38" s="13"/>
      <c r="C38" s="4"/>
      <c r="D38" s="4"/>
    </row>
  </sheetData>
  <autoFilter ref="A1:B40" xr:uid="{00000000-0009-0000-0000-000000000000}"/>
  <mergeCells count="5">
    <mergeCell ref="A32:B32"/>
    <mergeCell ref="A2:D2"/>
    <mergeCell ref="A17:B17"/>
    <mergeCell ref="A25:B25"/>
    <mergeCell ref="A10:D10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B764-63F2-4533-A843-B49F44CBED36}">
  <dimension ref="A1:H18"/>
  <sheetViews>
    <sheetView zoomScale="70" zoomScaleNormal="70" workbookViewId="0">
      <pane ySplit="1" topLeftCell="A2" activePane="bottomLeft" state="frozen"/>
      <selection pane="bottomLeft" activeCell="B14" sqref="B14"/>
    </sheetView>
  </sheetViews>
  <sheetFormatPr defaultColWidth="8.7109375" defaultRowHeight="14.45"/>
  <cols>
    <col min="1" max="1" width="41.85546875" style="28" customWidth="1"/>
    <col min="2" max="2" width="34.7109375" style="28" customWidth="1"/>
    <col min="3" max="3" width="43.140625" style="28" customWidth="1"/>
    <col min="4" max="4" width="51.5703125" style="28" customWidth="1"/>
    <col min="5" max="5" width="45" style="28" customWidth="1"/>
    <col min="6" max="6" width="19.7109375" style="28" customWidth="1"/>
    <col min="7" max="7" width="22.140625" style="28" customWidth="1"/>
    <col min="8" max="8" width="40.7109375" style="28" customWidth="1"/>
    <col min="9" max="16384" width="8.7109375" style="28"/>
  </cols>
  <sheetData>
    <row r="1" spans="1:8" ht="42">
      <c r="A1" s="5" t="s">
        <v>153</v>
      </c>
      <c r="B1" s="5" t="s">
        <v>154</v>
      </c>
      <c r="C1" s="5" t="s">
        <v>155</v>
      </c>
      <c r="D1" s="5" t="s">
        <v>156</v>
      </c>
      <c r="E1" s="5" t="s">
        <v>157</v>
      </c>
      <c r="F1" s="5" t="s">
        <v>158</v>
      </c>
      <c r="G1" s="5" t="s">
        <v>159</v>
      </c>
      <c r="H1" s="5" t="s">
        <v>160</v>
      </c>
    </row>
    <row r="2" spans="1:8" ht="60" customHeight="1">
      <c r="A2" s="70" t="s">
        <v>161</v>
      </c>
      <c r="B2" s="71"/>
      <c r="C2" s="71"/>
      <c r="D2" s="71"/>
      <c r="E2" s="71"/>
      <c r="F2" s="71"/>
      <c r="G2" s="71"/>
      <c r="H2" s="72"/>
    </row>
    <row r="3" spans="1:8" ht="49.9" customHeight="1">
      <c r="A3" s="40" t="s">
        <v>162</v>
      </c>
      <c r="B3" s="41" t="s">
        <v>163</v>
      </c>
      <c r="C3" s="41" t="s">
        <v>164</v>
      </c>
      <c r="D3" s="42" t="s">
        <v>165</v>
      </c>
      <c r="E3" s="44" t="s">
        <v>166</v>
      </c>
      <c r="F3" s="43">
        <v>2</v>
      </c>
      <c r="G3" s="43">
        <v>4</v>
      </c>
      <c r="H3" s="44" t="s">
        <v>167</v>
      </c>
    </row>
    <row r="4" spans="1:8" ht="49.9" customHeight="1">
      <c r="A4" s="40" t="s">
        <v>162</v>
      </c>
      <c r="B4" s="41" t="s">
        <v>168</v>
      </c>
      <c r="C4" s="41" t="s">
        <v>164</v>
      </c>
      <c r="D4" s="45" t="s">
        <v>169</v>
      </c>
      <c r="E4" s="44" t="s">
        <v>166</v>
      </c>
      <c r="F4" s="43">
        <v>2</v>
      </c>
      <c r="G4" s="43">
        <v>4</v>
      </c>
      <c r="H4" s="44" t="s">
        <v>170</v>
      </c>
    </row>
    <row r="5" spans="1:8" ht="49.9" customHeight="1">
      <c r="A5" s="40" t="s">
        <v>162</v>
      </c>
      <c r="B5" s="41" t="s">
        <v>171</v>
      </c>
      <c r="C5" s="41" t="s">
        <v>172</v>
      </c>
      <c r="D5" s="41" t="s">
        <v>173</v>
      </c>
      <c r="E5" s="44" t="s">
        <v>166</v>
      </c>
      <c r="F5" s="43">
        <v>2</v>
      </c>
      <c r="G5" s="43">
        <v>4</v>
      </c>
      <c r="H5" s="67" t="s">
        <v>174</v>
      </c>
    </row>
    <row r="6" spans="1:8" ht="38.450000000000003" customHeight="1">
      <c r="A6" s="70" t="s">
        <v>175</v>
      </c>
      <c r="B6" s="71"/>
      <c r="C6" s="71"/>
      <c r="D6" s="71"/>
      <c r="E6" s="71"/>
      <c r="F6" s="71"/>
      <c r="G6" s="71"/>
      <c r="H6" s="72"/>
    </row>
    <row r="7" spans="1:8" ht="49.9" customHeight="1">
      <c r="A7" s="40" t="s">
        <v>176</v>
      </c>
      <c r="B7" s="41" t="s">
        <v>177</v>
      </c>
      <c r="C7" s="41" t="s">
        <v>178</v>
      </c>
      <c r="D7" s="42" t="s">
        <v>165</v>
      </c>
      <c r="E7" s="31"/>
      <c r="F7" s="30"/>
      <c r="G7" s="30"/>
      <c r="H7" s="31"/>
    </row>
    <row r="8" spans="1:8" ht="49.9" customHeight="1">
      <c r="A8" s="40" t="s">
        <v>176</v>
      </c>
      <c r="B8" s="41" t="s">
        <v>179</v>
      </c>
      <c r="C8" s="41" t="s">
        <v>178</v>
      </c>
      <c r="D8" s="42" t="s">
        <v>165</v>
      </c>
      <c r="E8" s="31"/>
      <c r="F8" s="30"/>
      <c r="G8" s="30"/>
      <c r="H8" s="31"/>
    </row>
    <row r="9" spans="1:8" ht="49.9" customHeight="1">
      <c r="A9" s="40" t="s">
        <v>176</v>
      </c>
      <c r="B9" s="41" t="s">
        <v>180</v>
      </c>
      <c r="C9" s="41" t="s">
        <v>178</v>
      </c>
      <c r="D9" s="45" t="s">
        <v>169</v>
      </c>
      <c r="E9" s="31"/>
      <c r="F9" s="30"/>
      <c r="G9" s="30"/>
      <c r="H9" s="31"/>
    </row>
    <row r="10" spans="1:8" ht="49.9" customHeight="1">
      <c r="A10" s="40" t="s">
        <v>176</v>
      </c>
      <c r="B10" s="41" t="s">
        <v>181</v>
      </c>
      <c r="C10" s="41" t="s">
        <v>178</v>
      </c>
      <c r="D10" s="45" t="s">
        <v>169</v>
      </c>
      <c r="E10" s="31"/>
      <c r="F10" s="30"/>
      <c r="G10" s="30"/>
      <c r="H10" s="31"/>
    </row>
    <row r="11" spans="1:8" ht="60" customHeight="1">
      <c r="A11" s="73" t="s">
        <v>175</v>
      </c>
      <c r="B11" s="74"/>
      <c r="C11" s="74"/>
      <c r="D11" s="74"/>
      <c r="E11" s="74"/>
      <c r="F11" s="74"/>
      <c r="G11" s="74"/>
      <c r="H11" s="75"/>
    </row>
    <row r="12" spans="1:8" ht="49.9" customHeight="1">
      <c r="A12" s="40" t="s">
        <v>62</v>
      </c>
      <c r="B12" s="40" t="s">
        <v>64</v>
      </c>
      <c r="C12" s="41" t="s">
        <v>182</v>
      </c>
      <c r="D12" s="68" t="s">
        <v>183</v>
      </c>
      <c r="E12" s="44" t="s">
        <v>184</v>
      </c>
      <c r="F12" s="68"/>
      <c r="G12" s="68"/>
      <c r="H12" s="44" t="s">
        <v>185</v>
      </c>
    </row>
    <row r="13" spans="1:8" ht="49.9" customHeight="1">
      <c r="A13" s="69" t="s">
        <v>186</v>
      </c>
      <c r="B13" s="43" t="s">
        <v>35</v>
      </c>
      <c r="C13" s="41" t="s">
        <v>187</v>
      </c>
      <c r="D13" s="68" t="s">
        <v>188</v>
      </c>
      <c r="E13" s="44" t="s">
        <v>189</v>
      </c>
      <c r="F13" s="68"/>
      <c r="G13" s="68"/>
      <c r="H13" s="44" t="s">
        <v>149</v>
      </c>
    </row>
    <row r="14" spans="1:8" ht="49.9" customHeight="1">
      <c r="A14" s="69" t="s">
        <v>190</v>
      </c>
      <c r="B14" s="40" t="s">
        <v>77</v>
      </c>
      <c r="C14" s="41" t="s">
        <v>191</v>
      </c>
      <c r="D14" s="68" t="s">
        <v>183</v>
      </c>
      <c r="E14" s="44" t="s">
        <v>192</v>
      </c>
      <c r="F14" s="68"/>
      <c r="G14" s="68"/>
      <c r="H14" s="44" t="s">
        <v>193</v>
      </c>
    </row>
    <row r="15" spans="1:8" ht="49.9" customHeight="1">
      <c r="A15" s="70" t="s">
        <v>194</v>
      </c>
      <c r="B15" s="71"/>
      <c r="C15" s="71"/>
      <c r="D15" s="71"/>
      <c r="E15" s="71"/>
      <c r="F15" s="71"/>
      <c r="G15" s="71"/>
      <c r="H15" s="72"/>
    </row>
    <row r="16" spans="1:8" ht="49.9" customHeight="1">
      <c r="A16" s="29" t="s">
        <v>195</v>
      </c>
      <c r="B16" s="29" t="s">
        <v>196</v>
      </c>
      <c r="C16" s="29" t="s">
        <v>196</v>
      </c>
      <c r="D16" s="33" t="s">
        <v>165</v>
      </c>
      <c r="E16" s="32" t="s">
        <v>197</v>
      </c>
      <c r="F16" s="29">
        <f>SUMIF($D$3:$D$5,"Proxmox A",$F$3:$F$5)+SUMIF($D$7:$D$10,"Proxmox A",$F$7:$F$10)+SUMIF($D$12:$D$14,"Proxmox A",$F$12:$F$14)</f>
        <v>2</v>
      </c>
      <c r="G16" s="29">
        <f>SUMIF($D$3:$D$5,"Proxmox A",$G$3:$G$5)+SUMIF($D$7:$D$10,"Proxmox A",$G$7:$G$10)+SUMIF($D$12:$D$14,"Proxmox A",$G$12:$G$14)</f>
        <v>4</v>
      </c>
      <c r="H16" s="32"/>
    </row>
    <row r="17" spans="1:8" ht="49.9" customHeight="1">
      <c r="A17" s="29" t="s">
        <v>195</v>
      </c>
      <c r="B17" s="29" t="s">
        <v>196</v>
      </c>
      <c r="C17" s="29" t="s">
        <v>196</v>
      </c>
      <c r="D17" s="34" t="s">
        <v>169</v>
      </c>
      <c r="E17" s="32" t="s">
        <v>198</v>
      </c>
      <c r="F17" s="29">
        <f>SUMIF($D$3:$D$5,"Proxmox B",$F$3:$F$5)+SUMIF($D$7:$D$10,"Proxmox B",$F$7:$F$10)+SUMIF($D$12:$D$14,"Proxmox B",$F$12:$F$14)</f>
        <v>2</v>
      </c>
      <c r="G17" s="29">
        <f>SUMIF($D$3:$D$5,"Proxmox B",$G$3:$G$5)+SUMIF($D$7:$D$10,"Proxmox B",$G$7:$G$10)+SUMIF($D$12:$D$14,"Proxmox B",$G$12:$G$14)</f>
        <v>4</v>
      </c>
      <c r="H17" s="32"/>
    </row>
    <row r="18" spans="1:8" ht="49.9" customHeight="1">
      <c r="A18" s="29" t="s">
        <v>195</v>
      </c>
      <c r="B18" s="29" t="s">
        <v>196</v>
      </c>
      <c r="C18" s="29" t="s">
        <v>196</v>
      </c>
      <c r="D18" s="29" t="s">
        <v>199</v>
      </c>
      <c r="E18" s="32" t="s">
        <v>200</v>
      </c>
      <c r="F18" s="29">
        <f>SUMIF($D$3:$D$5,"Witness site (independent of A/B)",$F$3:$F$5)+SUMIF($D$7:$D$10,"Witness site (independent of A/B)",$F$7:$F$10)+SUMIF($D$12:$D$14,"Witness site (independent of A/B)",$F$12:$F$14)</f>
        <v>0</v>
      </c>
      <c r="G18" s="29">
        <f>SUMIF($D$3:$D$5,"Witness site (independent of A/B)",$G$3:$G$5)+SUMIF($D$7:$D$10,"Witness site (independent of A/B)",$G$7:$G$10)+SUMIF($D$12:$D$14,"Witness site (independent of A/B)",$G$12:$G$14)</f>
        <v>0</v>
      </c>
      <c r="H18" s="32"/>
    </row>
  </sheetData>
  <mergeCells count="4">
    <mergeCell ref="A2:H2"/>
    <mergeCell ref="A6:H6"/>
    <mergeCell ref="A11:H11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03C31E289EE74BB69B93A1B60063FD" ma:contentTypeVersion="11" ma:contentTypeDescription="Crée un document." ma:contentTypeScope="" ma:versionID="ba5f8d170182232ad7ddf5caf70dc4db">
  <xsd:schema xmlns:xsd="http://www.w3.org/2001/XMLSchema" xmlns:xs="http://www.w3.org/2001/XMLSchema" xmlns:p="http://schemas.microsoft.com/office/2006/metadata/properties" xmlns:ns2="9f393639-55a9-4927-ac2f-ff786fe958a1" xmlns:ns3="bd893146-0f2e-41e0-bcb8-adea28b76a3b" targetNamespace="http://schemas.microsoft.com/office/2006/metadata/properties" ma:root="true" ma:fieldsID="7de2b875b7b4189f43a9f11f772e194b" ns2:_="" ns3:_="">
    <xsd:import namespace="9f393639-55a9-4927-ac2f-ff786fe958a1"/>
    <xsd:import namespace="bd893146-0f2e-41e0-bcb8-adea28b76a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93639-55a9-4927-ac2f-ff786fe95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6d95153-7822-40d7-a597-a9df552f7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93146-0f2e-41e0-bcb8-adea28b76a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c8406a-9373-46b9-84af-dd9275dd10dc}" ma:internalName="TaxCatchAll" ma:showField="CatchAllData" ma:web="bd893146-0f2e-41e0-bcb8-adea28b76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893146-0f2e-41e0-bcb8-adea28b76a3b" xsi:nil="true"/>
    <lcf76f155ced4ddcb4097134ff3c332f xmlns="9f393639-55a9-4927-ac2f-ff786fe958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CBD826-DF8D-4ED3-B0BF-EFD73782914A}"/>
</file>

<file path=customXml/itemProps2.xml><?xml version="1.0" encoding="utf-8"?>
<ds:datastoreItem xmlns:ds="http://schemas.openxmlformats.org/officeDocument/2006/customXml" ds:itemID="{47859DC3-588D-4013-8985-3D20DB606DEA}"/>
</file>

<file path=customXml/itemProps3.xml><?xml version="1.0" encoding="utf-8"?>
<ds:datastoreItem xmlns:ds="http://schemas.openxmlformats.org/officeDocument/2006/customXml" ds:itemID="{A913835D-4330-47E4-9DBE-0763A7561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Alhassane KONE</cp:lastModifiedBy>
  <cp:revision/>
  <dcterms:created xsi:type="dcterms:W3CDTF">2026-04-08T10:32:05Z</dcterms:created>
  <dcterms:modified xsi:type="dcterms:W3CDTF">2026-09-04T14:50:16Z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0x0101006503C31E289EE74BB69B93A1B60063FD</vt:lpwstr>
  </property>
  <property fmtid="{D5CDD505-2E9C-101B-9397-08002B2CF9AE}" pid="3" name="MediaServiceImageTags">
    <vt:lpwstr/>
  </property>
</Properties>
</file>